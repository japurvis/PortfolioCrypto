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8.xml" ContentType="application/vnd.openxmlformats-officedocument.drawing+xml"/>
  <Override PartName="/xl/ctrlProps/ctrlProp17.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9.xml" ContentType="application/vnd.openxmlformats-officedocument.drawing+xml"/>
  <Override PartName="/xl/ctrlProps/ctrlProp18.xml" ContentType="application/vnd.ms-excel.controlproperties+xml"/>
  <Override PartName="/xl/drawings/drawing10.xml" ContentType="application/vnd.openxmlformats-officedocument.drawing+xml"/>
  <Override PartName="/xl/ctrlProps/ctrlProp1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29" codeName="{320AAD7A-AEEB-3B57-35EE-6C7AAB037B02}"/>
  <workbookPr showInkAnnotation="0" codeName="ThisWorkbook" autoCompressPictures="0" defaultThemeVersion="124226"/>
  <mc:AlternateContent xmlns:mc="http://schemas.openxmlformats.org/markup-compatibility/2006">
    <mc:Choice Requires="x15">
      <x15ac:absPath xmlns:x15ac="http://schemas.microsoft.com/office/spreadsheetml/2010/11/ac" url="C:\Users\andrew\Dropbox\CryptoCurrency\"/>
    </mc:Choice>
  </mc:AlternateContent>
  <bookViews>
    <workbookView xWindow="-15" yWindow="45" windowWidth="12600" windowHeight="6030" tabRatio="750"/>
  </bookViews>
  <sheets>
    <sheet name="Dashboard" sheetId="45" r:id="rId1"/>
    <sheet name="Portfolio" sheetId="16" r:id="rId2"/>
    <sheet name="Orders" sheetId="30" r:id="rId3"/>
    <sheet name="Ranges" sheetId="33" r:id="rId4"/>
    <sheet name="Trades" sheetId="58" r:id="rId5"/>
    <sheet name="Transfers" sheetId="31" r:id="rId6"/>
    <sheet name="Trading" sheetId="47" r:id="rId7"/>
    <sheet name="Balances" sheetId="25" r:id="rId8"/>
    <sheet name="Quotes" sheetId="46" r:id="rId9"/>
    <sheet name="HistoricalQuotes" sheetId="40" r:id="rId10"/>
    <sheet name="DetailedQuotes" sheetId="56" r:id="rId11"/>
    <sheet name="Import" sheetId="48" r:id="rId12"/>
    <sheet name="CapitalGains" sheetId="59" r:id="rId13"/>
    <sheet name="API" sheetId="19" r:id="rId14"/>
    <sheet name="About" sheetId="32" r:id="rId15"/>
  </sheets>
  <functionGroups builtInGroupCount="19"/>
  <definedNames>
    <definedName name="_xlnm._FilterDatabase" localSheetId="7" hidden="1">Balances!$B$2:$F$2</definedName>
    <definedName name="_xlnm._FilterDatabase" localSheetId="0" hidden="1">Dashboard!$A$6:$M$7</definedName>
    <definedName name="_xlnm._FilterDatabase" localSheetId="2" hidden="1">Orders!$A$2:$I$2</definedName>
    <definedName name="_xlnm._FilterDatabase" localSheetId="1" hidden="1">Portfolio!$A$2:$S$3</definedName>
    <definedName name="_xlnm._FilterDatabase" localSheetId="3" hidden="1">Ranges!$A$2:$M$26</definedName>
    <definedName name="_xlnm._FilterDatabase" localSheetId="4" hidden="1">Trades!$A$2:$U$2</definedName>
    <definedName name="_xlnm._FilterDatabase" localSheetId="5" hidden="1">Transfers!$A$2:$G$2</definedName>
    <definedName name="AccountBalances">Balances!$C:$F</definedName>
    <definedName name="ApiKeyBinance">API!$C$3</definedName>
    <definedName name="ApiKeyBittrex">API!$C$2</definedName>
    <definedName name="ApiKeyCoinbase">API!$C$4</definedName>
    <definedName name="ApiKeyGDAX">API!$C$7</definedName>
    <definedName name="ApiKeyKraken">API!$C$8</definedName>
    <definedName name="ApiKeyPoloniex">API!$C$5</definedName>
    <definedName name="ApiLoadDataBinance">API!$B$3</definedName>
    <definedName name="ApiLoadDataBittrex">API!$B$2</definedName>
    <definedName name="ApiLoadDataCMC">API!$B$6</definedName>
    <definedName name="ApiLoadDataCoinbase">API!$B$4</definedName>
    <definedName name="ApiLoadDataGDAX">API!$B$7</definedName>
    <definedName name="ApiLoadDataKraken">API!$B$8</definedName>
    <definedName name="ApiLoadDataPoloniex">API!$B$5</definedName>
    <definedName name="ApiPassphraseGDAX">API!$E$7</definedName>
    <definedName name="ApiSecretBinance">API!$D$3</definedName>
    <definedName name="ApiSecretBittrex">API!$D$2</definedName>
    <definedName name="ApiSecretCoinbase">API!$D$4</definedName>
    <definedName name="ApiSecretGDAX">API!$D$7</definedName>
    <definedName name="ApiSecretKraken">API!$D$8</definedName>
    <definedName name="ApiSecretPoloniex">API!$D$5</definedName>
    <definedName name="Balances">Balances!$A:$G</definedName>
    <definedName name="ExternalData_1" localSheetId="9" hidden="1">HistoricalQuotes!$A$1:$E$211</definedName>
    <definedName name="ExternalData_1" localSheetId="8" hidden="1">Quotes!$A$1:$G$579</definedName>
    <definedName name="FirstTradeDate">HistoricalQuotes!$I$1</definedName>
    <definedName name="OneYearAgo">DATE(YEAR(TODAY())-1,MONTH(TODAY()),DAY(TODAY()))</definedName>
    <definedName name="OpenOrders">Orders!$E:$H</definedName>
    <definedName name="OrderHistory" localSheetId="4">Trades!$A:$L</definedName>
    <definedName name="PortfolioMarketValue">Portfolio!$H$3</definedName>
    <definedName name="TargetThreshold">Portfolio!$N$3</definedName>
    <definedName name="Transfers">Transfers!$C:$G</definedName>
  </definedNames>
  <calcPr calcId="162913"/>
  <fileRecoveryPr repairLoad="1"/>
</workbook>
</file>

<file path=xl/calcChain.xml><?xml version="1.0" encoding="utf-8"?>
<calcChain xmlns="http://schemas.openxmlformats.org/spreadsheetml/2006/main">
  <c r="M3" i="16" l="1"/>
  <c r="E26" i="33"/>
  <c r="D26" i="33"/>
  <c r="C26" i="33"/>
  <c r="B26" i="33"/>
  <c r="A26" i="33"/>
  <c r="E25" i="33"/>
  <c r="D25" i="33"/>
  <c r="C25" i="33"/>
  <c r="B25" i="33"/>
  <c r="A25" i="33"/>
  <c r="E24" i="33"/>
  <c r="D24" i="33"/>
  <c r="C24" i="33"/>
  <c r="B24" i="33"/>
  <c r="A24" i="33"/>
  <c r="E23" i="33"/>
  <c r="D23" i="33"/>
  <c r="C23" i="33"/>
  <c r="B23" i="33"/>
  <c r="A23" i="33"/>
  <c r="E22" i="33"/>
  <c r="D22" i="33"/>
  <c r="C22" i="33"/>
  <c r="B22" i="33"/>
  <c r="A22" i="33"/>
  <c r="E21" i="33"/>
  <c r="D21" i="33"/>
  <c r="C21" i="33"/>
  <c r="B21" i="33"/>
  <c r="A21" i="33"/>
  <c r="E20" i="33"/>
  <c r="D20" i="33"/>
  <c r="C20" i="33"/>
  <c r="B20" i="33"/>
  <c r="A20" i="33"/>
  <c r="E19" i="33"/>
  <c r="D19" i="33"/>
  <c r="C19" i="33"/>
  <c r="B19" i="33"/>
  <c r="A19" i="33"/>
  <c r="E18" i="33"/>
  <c r="D18" i="33"/>
  <c r="C18" i="33"/>
  <c r="B18" i="33"/>
  <c r="A18" i="33"/>
  <c r="E17" i="33"/>
  <c r="D17" i="33"/>
  <c r="C17" i="33"/>
  <c r="B17" i="33"/>
  <c r="A17" i="33"/>
  <c r="E16" i="33"/>
  <c r="D16" i="33"/>
  <c r="K16" i="33" s="1"/>
  <c r="C16" i="33"/>
  <c r="B16" i="33"/>
  <c r="A16" i="33"/>
  <c r="E15" i="33"/>
  <c r="D15" i="33"/>
  <c r="C15" i="33"/>
  <c r="B15" i="33"/>
  <c r="A15" i="33"/>
  <c r="E14" i="33"/>
  <c r="D14" i="33"/>
  <c r="C14" i="33"/>
  <c r="B14" i="33"/>
  <c r="A14" i="33"/>
  <c r="D13" i="33"/>
  <c r="C13" i="33"/>
  <c r="B13" i="33"/>
  <c r="A13" i="33"/>
  <c r="K12" i="33"/>
  <c r="E12" i="33"/>
  <c r="D12" i="33"/>
  <c r="C12" i="33"/>
  <c r="B12" i="33"/>
  <c r="A12" i="33"/>
  <c r="E11" i="33"/>
  <c r="D11" i="33"/>
  <c r="C11" i="33"/>
  <c r="B11" i="33"/>
  <c r="A11" i="33"/>
  <c r="E10" i="33"/>
  <c r="M10" i="33" s="1"/>
  <c r="D10" i="33"/>
  <c r="C10" i="33"/>
  <c r="B10" i="33"/>
  <c r="A10" i="33"/>
  <c r="E9" i="33"/>
  <c r="D9" i="33"/>
  <c r="C9" i="33"/>
  <c r="B9" i="33"/>
  <c r="A9" i="33"/>
  <c r="E8" i="33"/>
  <c r="D8" i="33"/>
  <c r="C8" i="33"/>
  <c r="B8" i="33"/>
  <c r="A8" i="33"/>
  <c r="E7" i="33"/>
  <c r="K7" i="33" s="1"/>
  <c r="D7" i="33"/>
  <c r="C7" i="33"/>
  <c r="B7" i="33"/>
  <c r="A7" i="33"/>
  <c r="E6" i="33"/>
  <c r="I6" i="33" s="1"/>
  <c r="D6" i="33"/>
  <c r="C6" i="33"/>
  <c r="B6" i="33"/>
  <c r="A6" i="33"/>
  <c r="E5" i="33"/>
  <c r="D5" i="33"/>
  <c r="C5" i="33"/>
  <c r="B5" i="33"/>
  <c r="A5" i="33"/>
  <c r="E4" i="33"/>
  <c r="D4" i="33"/>
  <c r="C4" i="33"/>
  <c r="B4" i="33"/>
  <c r="A4" i="33"/>
  <c r="D3" i="33"/>
  <c r="C3" i="33"/>
  <c r="B3" i="33"/>
  <c r="A3" i="33"/>
  <c r="K4" i="33" l="1"/>
  <c r="G19" i="33"/>
  <c r="G11" i="33"/>
  <c r="K21" i="33"/>
  <c r="M14" i="33"/>
  <c r="G15" i="33"/>
  <c r="M18" i="33"/>
  <c r="K11" i="33"/>
  <c r="I10" i="33"/>
  <c r="I4" i="33"/>
  <c r="K9" i="33"/>
  <c r="K10" i="33"/>
  <c r="G14" i="33"/>
  <c r="I15" i="33"/>
  <c r="I20" i="33"/>
  <c r="I24" i="33"/>
  <c r="G23" i="33"/>
  <c r="I8" i="33"/>
  <c r="K14" i="33"/>
  <c r="G18" i="33"/>
  <c r="I19" i="33"/>
  <c r="M22" i="33"/>
  <c r="I23" i="33"/>
  <c r="M6" i="33"/>
  <c r="G7" i="33"/>
  <c r="K8" i="33"/>
  <c r="I18" i="33"/>
  <c r="K19" i="33"/>
  <c r="G22" i="33"/>
  <c r="K23" i="33"/>
  <c r="M26" i="33"/>
  <c r="I14" i="33"/>
  <c r="K15" i="33"/>
  <c r="G6" i="33"/>
  <c r="I7" i="33"/>
  <c r="I12" i="33"/>
  <c r="K17" i="33"/>
  <c r="K18" i="33"/>
  <c r="I22" i="33"/>
  <c r="G26" i="33"/>
  <c r="K25" i="33"/>
  <c r="I26" i="33"/>
  <c r="K5" i="33"/>
  <c r="K6" i="33"/>
  <c r="G10" i="33"/>
  <c r="I11" i="33"/>
  <c r="I16" i="33"/>
  <c r="G25" i="33"/>
  <c r="J4" i="33"/>
  <c r="L5" i="33"/>
  <c r="F6" i="33"/>
  <c r="N6" i="33"/>
  <c r="H7" i="33"/>
  <c r="J8" i="33"/>
  <c r="L9" i="33"/>
  <c r="F10" i="33"/>
  <c r="N10" i="33"/>
  <c r="H11" i="33"/>
  <c r="J12" i="33"/>
  <c r="F14" i="33"/>
  <c r="N14" i="33"/>
  <c r="H15" i="33"/>
  <c r="J16" i="33"/>
  <c r="L17" i="33"/>
  <c r="F18" i="33"/>
  <c r="N18" i="33"/>
  <c r="H19" i="33"/>
  <c r="J20" i="33"/>
  <c r="L21" i="33"/>
  <c r="F22" i="33"/>
  <c r="N22" i="33"/>
  <c r="H23" i="33"/>
  <c r="J24" i="33"/>
  <c r="L25" i="33"/>
  <c r="F26" i="33"/>
  <c r="N26" i="33"/>
  <c r="M17" i="33"/>
  <c r="K20" i="33"/>
  <c r="M21" i="33"/>
  <c r="K24" i="33"/>
  <c r="M25" i="33"/>
  <c r="L4" i="33"/>
  <c r="F5" i="33"/>
  <c r="N5" i="33"/>
  <c r="H6" i="33"/>
  <c r="J7" i="33"/>
  <c r="L8" i="33"/>
  <c r="F9" i="33"/>
  <c r="N9" i="33"/>
  <c r="H10" i="33"/>
  <c r="J11" i="33"/>
  <c r="L12" i="33"/>
  <c r="H14" i="33"/>
  <c r="J15" i="33"/>
  <c r="L16" i="33"/>
  <c r="F17" i="33"/>
  <c r="N17" i="33"/>
  <c r="H18" i="33"/>
  <c r="J19" i="33"/>
  <c r="L20" i="33"/>
  <c r="F21" i="33"/>
  <c r="N21" i="33"/>
  <c r="H22" i="33"/>
  <c r="J23" i="33"/>
  <c r="L24" i="33"/>
  <c r="F25" i="33"/>
  <c r="N25" i="33"/>
  <c r="H26" i="33"/>
  <c r="M9" i="33"/>
  <c r="M16" i="33"/>
  <c r="G17" i="33"/>
  <c r="M24" i="33"/>
  <c r="F4" i="33"/>
  <c r="N4" i="33"/>
  <c r="H5" i="33"/>
  <c r="J6" i="33"/>
  <c r="L7" i="33"/>
  <c r="F8" i="33"/>
  <c r="N8" i="33"/>
  <c r="H9" i="33"/>
  <c r="J10" i="33"/>
  <c r="L11" i="33"/>
  <c r="F12" i="33"/>
  <c r="N12" i="33"/>
  <c r="J14" i="33"/>
  <c r="L15" i="33"/>
  <c r="F16" i="33"/>
  <c r="N16" i="33"/>
  <c r="H17" i="33"/>
  <c r="J18" i="33"/>
  <c r="L19" i="33"/>
  <c r="F20" i="33"/>
  <c r="N20" i="33"/>
  <c r="H21" i="33"/>
  <c r="J22" i="33"/>
  <c r="L23" i="33"/>
  <c r="F24" i="33"/>
  <c r="N24" i="33"/>
  <c r="H25" i="33"/>
  <c r="J26" i="33"/>
  <c r="M4" i="33"/>
  <c r="G5" i="33"/>
  <c r="M8" i="33"/>
  <c r="M12" i="33"/>
  <c r="G4" i="33"/>
  <c r="I5" i="33"/>
  <c r="M7" i="33"/>
  <c r="G8" i="33"/>
  <c r="I9" i="33"/>
  <c r="M11" i="33"/>
  <c r="G12" i="33"/>
  <c r="M15" i="33"/>
  <c r="M19" i="33"/>
  <c r="G20" i="33"/>
  <c r="I21" i="33"/>
  <c r="K22" i="33"/>
  <c r="M23" i="33"/>
  <c r="G24" i="33"/>
  <c r="I25" i="33"/>
  <c r="K26" i="33"/>
  <c r="G9" i="33"/>
  <c r="M20" i="33"/>
  <c r="G21" i="33"/>
  <c r="G16" i="33"/>
  <c r="I17" i="33"/>
  <c r="H4" i="33"/>
  <c r="J5" i="33"/>
  <c r="L6" i="33"/>
  <c r="F7" i="33"/>
  <c r="N7" i="33"/>
  <c r="H8" i="33"/>
  <c r="J9" i="33"/>
  <c r="L10" i="33"/>
  <c r="F11" i="33"/>
  <c r="N11" i="33"/>
  <c r="H12" i="33"/>
  <c r="L14" i="33"/>
  <c r="F15" i="33"/>
  <c r="N15" i="33"/>
  <c r="H16" i="33"/>
  <c r="J17" i="33"/>
  <c r="L18" i="33"/>
  <c r="F19" i="33"/>
  <c r="N19" i="33"/>
  <c r="H20" i="33"/>
  <c r="J21" i="33"/>
  <c r="L22" i="33"/>
  <c r="F23" i="33"/>
  <c r="N23" i="33"/>
  <c r="H24" i="33"/>
  <c r="J25" i="33"/>
  <c r="L26" i="33"/>
  <c r="M5" i="33"/>
  <c r="E3" i="33"/>
  <c r="E13" i="33" l="1"/>
  <c r="K13" i="33" l="1"/>
  <c r="H13" i="33"/>
  <c r="L13" i="33"/>
  <c r="M13" i="33"/>
  <c r="G13" i="33"/>
  <c r="I13" i="33"/>
  <c r="N13" i="33"/>
  <c r="F13" i="33"/>
  <c r="J13" i="33"/>
  <c r="C7" i="45" l="1"/>
  <c r="D7" i="45"/>
  <c r="G7" i="45"/>
  <c r="K7" i="45"/>
  <c r="L7" i="45"/>
  <c r="S3" i="16"/>
  <c r="B14" i="47"/>
  <c r="F14" i="47"/>
  <c r="B17" i="47"/>
  <c r="F17" i="47"/>
  <c r="H3" i="16" l="1"/>
  <c r="E7" i="45"/>
  <c r="M7" i="45"/>
  <c r="D3" i="59"/>
  <c r="I3" i="59" s="1"/>
  <c r="D4" i="59"/>
  <c r="I4" i="59" s="1"/>
  <c r="C4" i="59"/>
  <c r="H4" i="59" s="1"/>
  <c r="C3" i="59"/>
  <c r="H3" i="59" s="1"/>
  <c r="B2" i="59"/>
  <c r="C2" i="59" s="1"/>
  <c r="H2" i="59" s="1"/>
  <c r="E3" i="16" l="1"/>
  <c r="J3" i="59"/>
  <c r="J4" i="59"/>
  <c r="D2" i="59"/>
  <c r="E3" i="59"/>
  <c r="E4" i="59"/>
  <c r="K3" i="16" l="1"/>
  <c r="H7" i="45"/>
  <c r="F7" i="45"/>
  <c r="I3" i="16"/>
  <c r="J3" i="16" s="1"/>
  <c r="E2" i="59"/>
  <c r="I2" i="59"/>
  <c r="J2" i="59" s="1"/>
  <c r="I7" i="45" l="1"/>
  <c r="I1" i="40"/>
  <c r="C9" i="47" l="1"/>
  <c r="C8" i="47"/>
  <c r="G3" i="33" l="1"/>
  <c r="K3" i="33" l="1"/>
  <c r="N3" i="33"/>
  <c r="J3" i="33"/>
  <c r="M3" i="33"/>
  <c r="I3" i="33"/>
  <c r="F3" i="33"/>
  <c r="L3" i="33"/>
  <c r="H3" i="33"/>
  <c r="D9" i="47" l="1"/>
  <c r="C10" i="47" l="1"/>
  <c r="D8" i="47"/>
  <c r="B3" i="45" l="1"/>
</calcChain>
</file>

<file path=xl/connections.xml><?xml version="1.0" encoding="utf-8"?>
<connections xmlns="http://schemas.openxmlformats.org/spreadsheetml/2006/main">
  <connection id="1" keepAlive="1" name="Query - BittrexCurrencies" description="Connection to the 'BittrexCurrencies' query in the workbook." type="5" refreshedVersion="6" background="1" saveData="1">
    <dbPr connection="Provider=Microsoft.Mashup.OleDb.1;Data Source=$Workbook$;Location=BittrexCurrencies;Extended Properties=&quot;&quot;" command="SELECT * FROM [BittrexCurrencies]"/>
    <extLst>
      <ext xmlns:x15="http://schemas.microsoft.com/office/spreadsheetml/2010/11/main" uri="{DE250136-89BD-433C-8126-D09CA5730AF9}">
        <x15:connection id="" excludeFromRefreshAll="1"/>
      </ext>
    </extLst>
  </connection>
  <connection id="2" keepAlive="1" name="Query - BittrexMarkets" description="Connection to the 'BittrexMarkets' query in the workbook." type="5" refreshedVersion="6" background="1" saveData="1">
    <dbPr connection="Provider=Microsoft.Mashup.OleDb.1;Data Source=$Workbook$;Location=BittrexMarkets;Extended Properties=&quot;&quot;" command="SELECT * FROM [BittrexMarkets]"/>
    <extLst>
      <ext xmlns:x15="http://schemas.microsoft.com/office/spreadsheetml/2010/11/main" uri="{DE250136-89BD-433C-8126-D09CA5730AF9}">
        <x15:connection id="" excludeFromRefreshAll="1"/>
      </ext>
    </extLst>
  </connection>
  <connection id="3" keepAlive="1" name="Query - BittrexMarketSummaries" description="Connection to the 'BittrexMarketSummaries' query in the workbook." type="5" refreshedVersion="6" background="1" saveData="1">
    <dbPr connection="Provider=Microsoft.Mashup.OleDb.1;Data Source=$Workbook$;Location=BittrexMarketSummaries;Extended Properties=&quot;&quot;" command="SELECT * FROM [BittrexMarketSummaries]"/>
    <extLst>
      <ext xmlns:x15="http://schemas.microsoft.com/office/spreadsheetml/2010/11/main" uri="{DE250136-89BD-433C-8126-D09CA5730AF9}">
        <x15:connection id="" excludeFromRefreshAll="1"/>
      </ext>
    </extLst>
  </connection>
  <connection id="4" keepAlive="1" name="Query - CoinbaseCurrencies" description="Connection to the 'CoinbaseCurrencies' query in the workbook." type="5" refreshedVersion="0" background="1" saveData="1">
    <dbPr connection="Provider=Microsoft.Mashup.OleDb.1;Data Source=$Workbook$;Location=CoinbaseCurrencies;Extended Properties=&quot;&quot;" command="SELECT * FROM [CoinbaseCurrencies]"/>
    <extLst>
      <ext xmlns:x15="http://schemas.microsoft.com/office/spreadsheetml/2010/11/main" uri="{DE250136-89BD-433C-8126-D09CA5730AF9}">
        <x15:connection id="" excludeFromRefreshAll="1"/>
      </ext>
    </extLst>
  </connection>
  <connection id="5" keepAlive="1" name="Query - CoinbaseMarketsBTC" description="Connection to the 'CoinbaseMarketsBTC' query in the workbook." type="5" refreshedVersion="0" background="1" saveData="1">
    <dbPr connection="Provider=Microsoft.Mashup.OleDb.1;Data Source=$Workbook$;Location=CoinbaseMarketsBTC;Extended Properties=&quot;&quot;" command="SELECT * FROM [CoinbaseMarketsBTC]"/>
    <extLst>
      <ext xmlns:x15="http://schemas.microsoft.com/office/spreadsheetml/2010/11/main" uri="{DE250136-89BD-433C-8126-D09CA5730AF9}">
        <x15:connection id="" excludeFromRefreshAll="1"/>
      </ext>
    </extLst>
  </connection>
  <connection id="6" keepAlive="1" name="Query - CoinbaseMarketsETH" description="Connection to the 'CoinbaseMarketsETH' query in the workbook." type="5" refreshedVersion="0" background="1" saveData="1">
    <dbPr connection="Provider=Microsoft.Mashup.OleDb.1;Data Source=$Workbook$;Location=CoinbaseMarketsETH;Extended Properties=&quot;&quot;" command="SELECT * FROM [CoinbaseMarketsETH]"/>
    <extLst>
      <ext xmlns:x15="http://schemas.microsoft.com/office/spreadsheetml/2010/11/main" uri="{DE250136-89BD-433C-8126-D09CA5730AF9}">
        <x15:connection id="" excludeFromRefreshAll="1"/>
      </ext>
    </extLst>
  </connection>
  <connection id="7" keepAlive="1" name="Query - CoinbaseMarketsUSD" description="Connection to the 'CoinbaseMarketsUSD' query in the workbook." type="5" refreshedVersion="0" background="1" saveData="1">
    <dbPr connection="Provider=Microsoft.Mashup.OleDb.1;Data Source=$Workbook$;Location=CoinbaseMarketsUSD;Extended Properties=&quot;&quot;" command="SELECT * FROM [CoinbaseMarketsUSD]"/>
    <extLst>
      <ext xmlns:x15="http://schemas.microsoft.com/office/spreadsheetml/2010/11/main" uri="{DE250136-89BD-433C-8126-D09CA5730AF9}">
        <x15:connection id="" excludeFromRefreshAll="1"/>
      </ext>
    </extLst>
  </connection>
  <connection id="8" keepAlive="1" name="Query - GdaxCurrencies" description="Connection to the 'GdaxCurrencies' query in the workbook." type="5" refreshedVersion="0" background="1" saveData="1">
    <dbPr connection="Provider=Microsoft.Mashup.OleDb.1;Data Source=$Workbook$;Location=GdaxCurrencies;Extended Properties=&quot;&quot;" command="SELECT * FROM [GdaxCurrencies]"/>
    <extLst>
      <ext xmlns:x15="http://schemas.microsoft.com/office/spreadsheetml/2010/11/main" uri="{DE250136-89BD-433C-8126-D09CA5730AF9}">
        <x15:connection id="" excludeFromRefreshAll="1"/>
      </ext>
    </extLst>
  </connection>
  <connection id="9" keepAlive="1" name="Query - GdaxMarkets" description="Connection to the 'GdaxMarkets' query in the workbook." type="5" refreshedVersion="0" background="1" saveData="1">
    <dbPr connection="Provider=Microsoft.Mashup.OleDb.1;Data Source=$Workbook$;Location=GdaxMarkets;Extended Properties=&quot;&quot;" command="SELECT * FROM [GdaxMarkets]"/>
    <extLst>
      <ext xmlns:x15="http://schemas.microsoft.com/office/spreadsheetml/2010/11/main" uri="{DE250136-89BD-433C-8126-D09CA5730AF9}">
        <x15:connection id="" excludeFromRefreshAll="1"/>
      </ext>
    </extLst>
  </connection>
  <connection id="10" keepAlive="1" name="Query - GdaxPriceBTCBCH" description="Connection to the 'GdaxPriceBTCBCH' query in the workbook." type="5" refreshedVersion="0" background="1">
    <dbPr connection="Provider=Microsoft.Mashup.OleDb.1;Data Source=$Workbook$;Location=GdaxPriceBTCBCH;Extended Properties=&quot;&quot;" command="SELECT * FROM [GdaxPriceBTCBCH]"/>
  </connection>
  <connection id="11" keepAlive="1" name="Query - GdaxPriceBTCETH" description="Connection to the 'GdaxPriceBTCETH' query in the workbook." type="5" refreshedVersion="0" background="1">
    <dbPr connection="Provider=Microsoft.Mashup.OleDb.1;Data Source=$Workbook$;Location=GdaxPriceBTCETH;Extended Properties=&quot;&quot;" command="SELECT * FROM [GdaxPriceBTCETH]"/>
  </connection>
  <connection id="12" keepAlive="1" name="Query - GdaxPriceBTCLTC" description="Connection to the 'GdaxPriceBTCLTC' query in the workbook." type="5" refreshedVersion="0" background="1">
    <dbPr connection="Provider=Microsoft.Mashup.OleDb.1;Data Source=$Workbook$;Location=GdaxPriceBTCLTC;Extended Properties=&quot;&quot;" command="SELECT * FROM [GdaxPriceBTCLTC]"/>
  </connection>
  <connection id="13" keepAlive="1" name="Query - GdaxPrices" description="Connection to the 'GdaxPrices' query in the workbook." type="5" refreshedVersion="0" background="1">
    <dbPr connection="Provider=Microsoft.Mashup.OleDb.1;Data Source=$Workbook$;Location=GdaxPrices;Extended Properties=&quot;&quot;" command="SELECT * FROM [GdaxPrices]"/>
  </connection>
  <connection id="14" keepAlive="1" name="Query - GdaxPriceUSDBCH" description="Connection to the 'GdaxPriceUSDBCH' query in the workbook." type="5" refreshedVersion="0" background="1">
    <dbPr connection="Provider=Microsoft.Mashup.OleDb.1;Data Source=$Workbook$;Location=GdaxPriceUSDBCH;Extended Properties=&quot;&quot;" command="SELECT * FROM [GdaxPriceUSDBCH]"/>
  </connection>
  <connection id="15" keepAlive="1" name="Query - GdaxPriceUSDBTC" description="Connection to the 'GdaxPriceUSDBTC' query in the workbook." type="5" refreshedVersion="0" background="1">
    <dbPr connection="Provider=Microsoft.Mashup.OleDb.1;Data Source=$Workbook$;Location=GdaxPriceUSDBTC;Extended Properties=&quot;&quot;" command="SELECT * FROM [GdaxPriceUSDBTC]"/>
  </connection>
  <connection id="16" keepAlive="1" name="Query - GdaxPriceUSDETH" description="Connection to the 'GdaxPriceUSDETH' query in the workbook." type="5" refreshedVersion="0" background="1">
    <dbPr connection="Provider=Microsoft.Mashup.OleDb.1;Data Source=$Workbook$;Location=GdaxPriceUSDETH;Extended Properties=&quot;&quot;" command="SELECT * FROM [GdaxPriceUSDETH]"/>
  </connection>
  <connection id="17" keepAlive="1" name="Query - GdaxPriceUSDLTC" description="Connection to the 'GdaxPriceUSDLTC' query in the workbook." type="5" refreshedVersion="0" background="1">
    <dbPr connection="Provider=Microsoft.Mashup.OleDb.1;Data Source=$Workbook$;Location=GdaxPriceUSDLTC;Extended Properties=&quot;&quot;" command="SELECT * FROM [GdaxPriceUSDLTC]"/>
  </connection>
  <connection id="18" keepAlive="1" name="Query - HistoricalQuotes" description="Connection to the 'HistoricalQuotes' query in the workbook." type="5" refreshedVersion="6" saveData="1">
    <dbPr connection="Provider=Microsoft.Mashup.OleDb.1;Data Source=$Workbook$;Location=HistoricalQuotes;Extended Properties=&quot;&quot;" command="SELECT * FROM [HistoricalQuotes]"/>
    <extLst>
      <ext xmlns:x15="http://schemas.microsoft.com/office/spreadsheetml/2010/11/main" uri="{DE250136-89BD-433C-8126-D09CA5730AF9}">
        <x15:connection id="" excludeFromRefreshAll="1"/>
      </ext>
    </extLst>
  </connection>
  <connection id="19" keepAlive="1" name="Query - HistoricalQuotesBNB" description="Connection to the 'HistoricalQuotesBNB' query in the workbook." type="5" refreshedVersion="0" background="1">
    <dbPr connection="Provider=Microsoft.Mashup.OleDb.1;Data Source=$Workbook$;Location=HistoricalQuotesBNB;Extended Properties=&quot;&quot;" command="SELECT * FROM [HistoricalQuotesBNB]"/>
  </connection>
  <connection id="20" keepAlive="1" name="Query - HistoricalQuotesBTC" description="Connection to the 'HistoricalQuotesBTC' query in the workbook." type="5" refreshedVersion="0" background="1">
    <dbPr connection="Provider=Microsoft.Mashup.OleDb.1;Data Source=$Workbook$;Location=HistoricalQuotesBTC;Extended Properties=&quot;&quot;" command="SELECT * FROM [HistoricalQuotesBTC]"/>
  </connection>
  <connection id="21" keepAlive="1" name="Query - HistoricalQuotesCMC" description="Connection to the 'HistoricalQuotesCMC' query in the workbook." type="5" refreshedVersion="0" background="1">
    <dbPr connection="Provider=Microsoft.Mashup.OleDb.1;Data Source=$Workbook$;Location=HistoricalQuotesCMC;Extended Properties=&quot;&quot;" command="SELECT * FROM [HistoricalQuotesCMC]"/>
  </connection>
  <connection id="22" keepAlive="1" name="Query - HistoricalQuotesETH" description="Connection to the 'HistoricalQuotesETH' query in the workbook." type="5" refreshedVersion="0" background="1">
    <dbPr connection="Provider=Microsoft.Mashup.OleDb.1;Data Source=$Workbook$;Location=HistoricalQuotesETH;Extended Properties=&quot;&quot;" command="SELECT * FROM [HistoricalQuotesETH]"/>
  </connection>
  <connection id="23" keepAlive="1" name="Query - HistoricalQuotesUSDT" description="Connection to the 'HistoricalQuotesUSDT' query in the workbook." type="5" refreshedVersion="0" background="1">
    <dbPr connection="Provider=Microsoft.Mashup.OleDb.1;Data Source=$Workbook$;Location=HistoricalQuotesUSDT;Extended Properties=&quot;&quot;" command="SELECT * FROM [HistoricalQuotesUSDT]"/>
  </connection>
  <connection id="24" keepAlive="1" name="Query - pHistoricalDataFilterDate" description="Connection to the 'pHistoricalDataFilterDate' query in the workbook." type="5" refreshedVersion="0" background="1" saveData="1">
    <dbPr connection="Provider=Microsoft.Mashup.OleDb.1;Data Source=$Workbook$;Location=pHistoricalDataFilterDate;Extended Properties=&quot;&quot;" command="SELECT * FROM [pHistoricalDataFilterDate]"/>
    <extLst>
      <ext xmlns:x15="http://schemas.microsoft.com/office/spreadsheetml/2010/11/main" uri="{DE250136-89BD-433C-8126-D09CA5730AF9}">
        <x15:connection id="" excludeFromRefreshAll="1"/>
      </ext>
    </extLst>
  </connection>
  <connection id="25" keepAlive="1" name="Query - PoloniexCurrencies" description="Connection to the 'PoloniexCurrencies' query in the workbook." type="5" refreshedVersion="0" background="1" saveData="1">
    <dbPr connection="Provider=Microsoft.Mashup.OleDb.1;Data Source=$Workbook$;Location=PoloniexCurrencies;Extended Properties=&quot;&quot;" command="SELECT * FROM [PoloniexCurrencies]"/>
    <extLst>
      <ext xmlns:x15="http://schemas.microsoft.com/office/spreadsheetml/2010/11/main" uri="{DE250136-89BD-433C-8126-D09CA5730AF9}">
        <x15:connection id="" excludeFromRefreshAll="1"/>
      </ext>
    </extLst>
  </connection>
  <connection id="26" keepAlive="1" name="Query - PoloniexMarkets" description="Connection to the 'PoloniexMarkets' query in the workbook." type="5" refreshedVersion="0" background="1" saveData="1">
    <dbPr connection="Provider=Microsoft.Mashup.OleDb.1;Data Source=$Workbook$;Location=PoloniexMarkets;Extended Properties=&quot;&quot;" command="SELECT * FROM [PoloniexMarkets]"/>
    <extLst>
      <ext xmlns:x15="http://schemas.microsoft.com/office/spreadsheetml/2010/11/main" uri="{DE250136-89BD-433C-8126-D09CA5730AF9}">
        <x15:connection id="" excludeFromRefreshAll="1"/>
      </ext>
    </extLst>
  </connection>
  <connection id="27" keepAlive="1" name="Query - Quotes" description="Connection to the 'Quotes' query in the workbook." type="5" refreshedVersion="6" saveData="1">
    <dbPr connection="Provider=Microsoft.Mashup.OleDb.1;Data Source=$Workbook$;Location=Quotes;Extended Properties=&quot;&quot;" command="SELECT * FROM [Quotes]"/>
    <extLst>
      <ext xmlns:x15="http://schemas.microsoft.com/office/spreadsheetml/2010/11/main" uri="{DE250136-89BD-433C-8126-D09CA5730AF9}">
        <x15:connection id="" excludeFromRefreshAll="1"/>
      </ext>
    </extLst>
  </connection>
  <connection id="28" keepAlive="1" name="Query - QuotesBinance" description="Connection to the 'QuotesBinance' query in the workbook." type="5" refreshedVersion="0" background="1">
    <dbPr connection="Provider=Microsoft.Mashup.OleDb.1;Data Source=$Workbook$;Location=QuotesBinance;Extended Properties=&quot;&quot;" command="SELECT * FROM [QuotesBinance]"/>
  </connection>
  <connection id="29" keepAlive="1" name="Query - QuotesBittrex" description="Connection to the 'QuotesBittrex' query in the workbook." type="5" refreshedVersion="0" background="1">
    <dbPr connection="Provider=Microsoft.Mashup.OleDb.1;Data Source=$Workbook$;Location=QuotesBittrex;Extended Properties=&quot;&quot;" command="SELECT * FROM [QuotesBittrex]"/>
  </connection>
  <connection id="30" keepAlive="1" name="Query - QuotesCMC" description="Connection to the 'QuotesCMC' query in the workbook." type="5" refreshedVersion="0" background="1">
    <dbPr connection="Provider=Microsoft.Mashup.OleDb.1;Data Source=$Workbook$;Location=QuotesCMC;Extended Properties=&quot;&quot;" command="SELECT * FROM [QuotesCMC]"/>
  </connection>
  <connection id="31" keepAlive="1" name="Query - QuotesCoinbase" description="Connection to the 'QuotesCoinbase' query in the workbook." type="5" refreshedVersion="0" background="1">
    <dbPr connection="Provider=Microsoft.Mashup.OleDb.1;Data Source=$Workbook$;Location=QuotesCoinbase;Extended Properties=&quot;&quot;" command="SELECT * FROM [QuotesCoinbase]"/>
  </connection>
  <connection id="32" keepAlive="1" name="Query - QuotesGDAX" description="Connection to the 'QuotesGDAX' query in the workbook." type="5" refreshedVersion="0" background="1">
    <dbPr connection="Provider=Microsoft.Mashup.OleDb.1;Data Source=$Workbook$;Location=QuotesGDAX;Extended Properties=&quot;&quot;" command="SELECT * FROM [QuotesGDAX]"/>
  </connection>
  <connection id="33" keepAlive="1" name="Query - QuotesKraken" description="Connection to the 'QuotesKraken' query in the workbook." type="5" refreshedVersion="0" background="1">
    <dbPr connection="Provider=Microsoft.Mashup.OleDb.1;Data Source=$Workbook$;Location=QuotesKraken;Extended Properties=&quot;&quot;" command="SELECT * FROM [QuotesKraken]"/>
  </connection>
  <connection id="34" keepAlive="1" name="Query - QuotesPoloniex" description="Connection to the 'QuotesPoloniex' query in the workbook." type="5" refreshedVersion="0" background="1">
    <dbPr connection="Provider=Microsoft.Mashup.OleDb.1;Data Source=$Workbook$;Location=QuotesPoloniex;Extended Properties=&quot;&quot;" command="SELECT * FROM [QuotesPoloniex]"/>
  </connection>
</connections>
</file>

<file path=xl/sharedStrings.xml><?xml version="1.0" encoding="utf-8"?>
<sst xmlns="http://schemas.openxmlformats.org/spreadsheetml/2006/main" count="3709" uniqueCount="1243">
  <si>
    <t>Market Value</t>
  </si>
  <si>
    <t>Total</t>
  </si>
  <si>
    <t>Cost Basis</t>
  </si>
  <si>
    <t>Date</t>
  </si>
  <si>
    <t>% of Portfolio</t>
  </si>
  <si>
    <t>Price</t>
  </si>
  <si>
    <t>MCO</t>
  </si>
  <si>
    <t>AMP</t>
  </si>
  <si>
    <t>BCC</t>
  </si>
  <si>
    <t>ETH</t>
  </si>
  <si>
    <t>BTC</t>
  </si>
  <si>
    <t>DASH</t>
  </si>
  <si>
    <t>EDG</t>
  </si>
  <si>
    <t>LTC</t>
  </si>
  <si>
    <t>NEO</t>
  </si>
  <si>
    <t>OMG</t>
  </si>
  <si>
    <t>ZEC</t>
  </si>
  <si>
    <t>Name</t>
  </si>
  <si>
    <t>Units</t>
  </si>
  <si>
    <t>Bitcoin Cash</t>
  </si>
  <si>
    <t>Bitcoin</t>
  </si>
  <si>
    <t>Dash</t>
  </si>
  <si>
    <t>Edgeless</t>
  </si>
  <si>
    <t>Litecoin</t>
  </si>
  <si>
    <t>OmiseGO</t>
  </si>
  <si>
    <t>Currency</t>
  </si>
  <si>
    <t>$ Amount</t>
  </si>
  <si>
    <t>XRP</t>
  </si>
  <si>
    <t>Ripple</t>
  </si>
  <si>
    <t>Ethereum</t>
  </si>
  <si>
    <t>BCH</t>
  </si>
  <si>
    <t>IOTA</t>
  </si>
  <si>
    <t>Monero</t>
  </si>
  <si>
    <t>XMR</t>
  </si>
  <si>
    <t>Ethereum Classic</t>
  </si>
  <si>
    <t>ETC</t>
  </si>
  <si>
    <t>Lisk</t>
  </si>
  <si>
    <t>LSK</t>
  </si>
  <si>
    <t>Qtum</t>
  </si>
  <si>
    <t>QTUM</t>
  </si>
  <si>
    <t>Zcash</t>
  </si>
  <si>
    <t>Tether</t>
  </si>
  <si>
    <t>USDT</t>
  </si>
  <si>
    <t>Waves</t>
  </si>
  <si>
    <t>WAVES</t>
  </si>
  <si>
    <t>Stratis</t>
  </si>
  <si>
    <t>STRAT</t>
  </si>
  <si>
    <t>Ark</t>
  </si>
  <si>
    <t>ARK</t>
  </si>
  <si>
    <t>STEEM</t>
  </si>
  <si>
    <t>GAS</t>
  </si>
  <si>
    <t>Golem</t>
  </si>
  <si>
    <t>Basic Attention Token</t>
  </si>
  <si>
    <t>BAT</t>
  </si>
  <si>
    <t>BitShares</t>
  </si>
  <si>
    <t>BTS</t>
  </si>
  <si>
    <t>Augur</t>
  </si>
  <si>
    <t>Decred</t>
  </si>
  <si>
    <t>XLM</t>
  </si>
  <si>
    <t>Komodo</t>
  </si>
  <si>
    <t>KMD</t>
  </si>
  <si>
    <t>Metal</t>
  </si>
  <si>
    <t>MTL</t>
  </si>
  <si>
    <t>Factom</t>
  </si>
  <si>
    <t>Siacoin</t>
  </si>
  <si>
    <t>Civic</t>
  </si>
  <si>
    <t>GameCredits</t>
  </si>
  <si>
    <t>Ardor</t>
  </si>
  <si>
    <t>Dogecoin</t>
  </si>
  <si>
    <t>Nexus</t>
  </si>
  <si>
    <t>Gnosis</t>
  </si>
  <si>
    <t>ZRX</t>
  </si>
  <si>
    <t>FunFair</t>
  </si>
  <si>
    <t>FUN</t>
  </si>
  <si>
    <t>BNB</t>
  </si>
  <si>
    <t>Bancor</t>
  </si>
  <si>
    <t>BNT</t>
  </si>
  <si>
    <t>Monaco</t>
  </si>
  <si>
    <t>SNT</t>
  </si>
  <si>
    <t>Verge</t>
  </si>
  <si>
    <t>XVG</t>
  </si>
  <si>
    <t>NXT</t>
  </si>
  <si>
    <t>Aragon</t>
  </si>
  <si>
    <t>Ubiq</t>
  </si>
  <si>
    <t>Particl</t>
  </si>
  <si>
    <t>WTC</t>
  </si>
  <si>
    <t>Cofound.it</t>
  </si>
  <si>
    <t>Storj</t>
  </si>
  <si>
    <t>STORJ</t>
  </si>
  <si>
    <t>ReddCoin</t>
  </si>
  <si>
    <t>Gulden</t>
  </si>
  <si>
    <t>Elastic</t>
  </si>
  <si>
    <t>FairCoin</t>
  </si>
  <si>
    <t>Melon</t>
  </si>
  <si>
    <t>Vertcoin</t>
  </si>
  <si>
    <t>VTC</t>
  </si>
  <si>
    <t>ZCoin</t>
  </si>
  <si>
    <t>XZC</t>
  </si>
  <si>
    <t>CloakCoin</t>
  </si>
  <si>
    <t>AdEx</t>
  </si>
  <si>
    <t>ADX</t>
  </si>
  <si>
    <t>Patientory</t>
  </si>
  <si>
    <t>Peercoin</t>
  </si>
  <si>
    <t>Quantum Resistant Ledger</t>
  </si>
  <si>
    <t>Nexium</t>
  </si>
  <si>
    <t>DECENT</t>
  </si>
  <si>
    <t>Counterparty</t>
  </si>
  <si>
    <t>MonaCoin</t>
  </si>
  <si>
    <t>BitBay</t>
  </si>
  <si>
    <t>Crown</t>
  </si>
  <si>
    <t>adToken</t>
  </si>
  <si>
    <t>district0x</t>
  </si>
  <si>
    <t>DNT</t>
  </si>
  <si>
    <t>Diamond</t>
  </si>
  <si>
    <t>Humaniq</t>
  </si>
  <si>
    <t>MonetaryUnit</t>
  </si>
  <si>
    <t>Numeraire</t>
  </si>
  <si>
    <t>Einsteinium</t>
  </si>
  <si>
    <t>Lunyr</t>
  </si>
  <si>
    <t>Expanse</t>
  </si>
  <si>
    <t>PotCoin</t>
  </si>
  <si>
    <t>DigitalNote</t>
  </si>
  <si>
    <t>SpreadCoin</t>
  </si>
  <si>
    <t>LBRY Credits</t>
  </si>
  <si>
    <t>Radium</t>
  </si>
  <si>
    <t>OMNI</t>
  </si>
  <si>
    <t>BlackCoin</t>
  </si>
  <si>
    <t>SaluS</t>
  </si>
  <si>
    <t>Shift</t>
  </si>
  <si>
    <t>Gambit</t>
  </si>
  <si>
    <t>Aeon</t>
  </si>
  <si>
    <t>GridCoin</t>
  </si>
  <si>
    <t>Golos</t>
  </si>
  <si>
    <t>Databits</t>
  </si>
  <si>
    <t>Groestlcoin</t>
  </si>
  <si>
    <t>GRS</t>
  </si>
  <si>
    <t>NeosCoin</t>
  </si>
  <si>
    <t>VeriCoin</t>
  </si>
  <si>
    <t>Incent</t>
  </si>
  <si>
    <t>SolarCoin</t>
  </si>
  <si>
    <t>Musicoin</t>
  </si>
  <si>
    <t>PinkCoin</t>
  </si>
  <si>
    <t>Sphere</t>
  </si>
  <si>
    <t>Feathercoin</t>
  </si>
  <si>
    <t>Vcash</t>
  </si>
  <si>
    <t>Blocktix</t>
  </si>
  <si>
    <t>BitSend</t>
  </si>
  <si>
    <t>BSD</t>
  </si>
  <si>
    <t>Sequence</t>
  </si>
  <si>
    <t>ExclusiveCoin</t>
  </si>
  <si>
    <t>Circuits of Value</t>
  </si>
  <si>
    <t>Qwark</t>
  </si>
  <si>
    <t>Blitzcash</t>
  </si>
  <si>
    <t>ArtByte</t>
  </si>
  <si>
    <t>WhiteCoin</t>
  </si>
  <si>
    <t>FoldingCoin</t>
  </si>
  <si>
    <t>GoldCoin</t>
  </si>
  <si>
    <t>EuropeCoin</t>
  </si>
  <si>
    <t>Synergy</t>
  </si>
  <si>
    <t>Bitswift</t>
  </si>
  <si>
    <t>Syndicate</t>
  </si>
  <si>
    <t>Myriad</t>
  </si>
  <si>
    <t>HempCoin</t>
  </si>
  <si>
    <t>DopeCoin</t>
  </si>
  <si>
    <t>Dynamic</t>
  </si>
  <si>
    <t>GeoCoin</t>
  </si>
  <si>
    <t>SBD</t>
  </si>
  <si>
    <t>2GIVE</t>
  </si>
  <si>
    <t>Breakout Stake</t>
  </si>
  <si>
    <t>Breakout</t>
  </si>
  <si>
    <t>TransferCoin</t>
  </si>
  <si>
    <t>EverGreenCoin</t>
  </si>
  <si>
    <t>Tokes</t>
  </si>
  <si>
    <t>CannabisCoin</t>
  </si>
  <si>
    <t>vTorrent</t>
  </si>
  <si>
    <t>TrustPlus</t>
  </si>
  <si>
    <t>Magi</t>
  </si>
  <si>
    <t>ParkByte</t>
  </si>
  <si>
    <t>eBoost</t>
  </si>
  <si>
    <t>Bytecent</t>
  </si>
  <si>
    <t>UnbreakableCoin</t>
  </si>
  <si>
    <t>Decentraland</t>
  </si>
  <si>
    <t>MANA</t>
  </si>
  <si>
    <t>VEN</t>
  </si>
  <si>
    <t>GBG</t>
  </si>
  <si>
    <t>TRX</t>
  </si>
  <si>
    <t>ClubCoin</t>
  </si>
  <si>
    <t>RCN</t>
  </si>
  <si>
    <t>Limit</t>
  </si>
  <si>
    <t>Commission</t>
  </si>
  <si>
    <t>Market Currency</t>
  </si>
  <si>
    <t>Base Currency</t>
  </si>
  <si>
    <t>Opened</t>
  </si>
  <si>
    <t>BUY</t>
  </si>
  <si>
    <t>SALT</t>
  </si>
  <si>
    <t>ADA</t>
  </si>
  <si>
    <t>SELL</t>
  </si>
  <si>
    <t>Currency Converter</t>
  </si>
  <si>
    <t>VIB</t>
  </si>
  <si>
    <t>Viberate</t>
  </si>
  <si>
    <t>Kore</t>
  </si>
  <si>
    <t>Base</t>
  </si>
  <si>
    <t>Nubits</t>
  </si>
  <si>
    <t>Price ($)</t>
  </si>
  <si>
    <t>Bittrex</t>
  </si>
  <si>
    <t>Portfolio</t>
  </si>
  <si>
    <t>Most Recent Trade</t>
  </si>
  <si>
    <t>Last Update</t>
  </si>
  <si>
    <t>Created By</t>
  </si>
  <si>
    <t>Note</t>
  </si>
  <si>
    <t>Email</t>
  </si>
  <si>
    <t>john.andrew.purvis@gmail.com</t>
  </si>
  <si>
    <t>John A Purvis</t>
  </si>
  <si>
    <t>% to Execution</t>
  </si>
  <si>
    <t>Cost / Proceeds</t>
  </si>
  <si>
    <t>Ripio Credit Network</t>
  </si>
  <si>
    <t>Return ($)</t>
  </si>
  <si>
    <t>Return (%)</t>
  </si>
  <si>
    <t>CoinMarketCap</t>
  </si>
  <si>
    <t>Poloniex</t>
  </si>
  <si>
    <t>Binance</t>
  </si>
  <si>
    <t>POWR</t>
  </si>
  <si>
    <t>STCG</t>
  </si>
  <si>
    <t>LTCG</t>
  </si>
  <si>
    <t>Mercury</t>
  </si>
  <si>
    <t>USD</t>
  </si>
  <si>
    <t>Type</t>
  </si>
  <si>
    <t>CBPU</t>
  </si>
  <si>
    <t>BTG</t>
  </si>
  <si>
    <t>Bitcoin Gold</t>
  </si>
  <si>
    <t>Quantity</t>
  </si>
  <si>
    <t>Exchange</t>
  </si>
  <si>
    <t>ENG</t>
  </si>
  <si>
    <t>Enigma</t>
  </si>
  <si>
    <t>Rate</t>
  </si>
  <si>
    <t>REQ</t>
  </si>
  <si>
    <t>Id</t>
  </si>
  <si>
    <t>Start Date</t>
  </si>
  <si>
    <t>Key</t>
  </si>
  <si>
    <t>Secret</t>
  </si>
  <si>
    <t>Coinbase</t>
  </si>
  <si>
    <t>Load Data</t>
  </si>
  <si>
    <t>Unmatched Market Units</t>
  </si>
  <si>
    <t>Unmatched Market Basis</t>
  </si>
  <si>
    <t>Unmatched Base Units</t>
  </si>
  <si>
    <t>Unmatched Base Basis</t>
  </si>
  <si>
    <t>Closed</t>
  </si>
  <si>
    <t>Stellar</t>
  </si>
  <si>
    <t>United States Dollar</t>
  </si>
  <si>
    <t>GDAX</t>
  </si>
  <si>
    <t>SBTC</t>
  </si>
  <si>
    <t>BCX</t>
  </si>
  <si>
    <t>Passphrase</t>
  </si>
  <si>
    <t>Order ID</t>
  </si>
  <si>
    <t>Realized</t>
  </si>
  <si>
    <t>Unrealized</t>
  </si>
  <si>
    <t>Kraken</t>
  </si>
  <si>
    <t>Market Currency Name</t>
  </si>
  <si>
    <t>Base Currency Name</t>
  </si>
  <si>
    <t>QuotesId</t>
  </si>
  <si>
    <t>Bittrex-BTC-2GIVE</t>
  </si>
  <si>
    <t>Bittrex-BTC-ABY</t>
  </si>
  <si>
    <t>Bittrex-BTC-ADA</t>
  </si>
  <si>
    <t>Bittrex-BTC-ADT</t>
  </si>
  <si>
    <t>Bittrex-BTC-ADX</t>
  </si>
  <si>
    <t>Bittrex-BTC-AEON</t>
  </si>
  <si>
    <t>Bittrex-BTC-AMP</t>
  </si>
  <si>
    <t>Bittrex-BTC-ANT</t>
  </si>
  <si>
    <t>Bittrex-BTC-ARDR</t>
  </si>
  <si>
    <t>Bittrex-BTC-ARK</t>
  </si>
  <si>
    <t>Bittrex-BTC-AUR</t>
  </si>
  <si>
    <t>Bittrex-BTC-BAT</t>
  </si>
  <si>
    <t>Bittrex-BTC-BAY</t>
  </si>
  <si>
    <t>Bittrex-BTC-BCY</t>
  </si>
  <si>
    <t>Bittrex-BTC-BITB</t>
  </si>
  <si>
    <t>Bittrex-BTC-BLITZ</t>
  </si>
  <si>
    <t>Bittrex-BTC-BLK</t>
  </si>
  <si>
    <t>Bittrex-BTC-BLOCK</t>
  </si>
  <si>
    <t>Bittrex-BTC-BNT</t>
  </si>
  <si>
    <t>Bittrex-BTC-BRK</t>
  </si>
  <si>
    <t>Bittrex-BTC-BRX</t>
  </si>
  <si>
    <t>Bittrex-BTC-BSD</t>
  </si>
  <si>
    <t>Bittrex-BTC-BTG</t>
  </si>
  <si>
    <t>Bittrex-BTC-BURST</t>
  </si>
  <si>
    <t>Bittrex-BTC-BYC</t>
  </si>
  <si>
    <t>Bittrex-BTC-CANN</t>
  </si>
  <si>
    <t>Bittrex-BTC-CFI</t>
  </si>
  <si>
    <t>Bittrex-BTC-CLAM</t>
  </si>
  <si>
    <t>Bittrex-BTC-CLOAK</t>
  </si>
  <si>
    <t>Bittrex-BTC-CLUB</t>
  </si>
  <si>
    <t>Bittrex-BTC-COVAL</t>
  </si>
  <si>
    <t>Bittrex-BTC-CRB</t>
  </si>
  <si>
    <t>Bittrex-BTC-CRW</t>
  </si>
  <si>
    <t>Bittrex-BTC-CURE</t>
  </si>
  <si>
    <t>Bittrex-BTC-CVC</t>
  </si>
  <si>
    <t>Bittrex-BTC-DASH</t>
  </si>
  <si>
    <t>Bittrex-BTC-DCR</t>
  </si>
  <si>
    <t>Bittrex-BTC-DCT</t>
  </si>
  <si>
    <t>Bittrex-BTC-DGB</t>
  </si>
  <si>
    <t>Bittrex-BTC-DMD</t>
  </si>
  <si>
    <t>Bittrex-BTC-DNT</t>
  </si>
  <si>
    <t>Bittrex-BTC-DOGE</t>
  </si>
  <si>
    <t>Bittrex-BTC-DOPE</t>
  </si>
  <si>
    <t>Bittrex-BTC-DTB</t>
  </si>
  <si>
    <t>Bittrex-BTC-DYN</t>
  </si>
  <si>
    <t>Bittrex-BTC-EBST</t>
  </si>
  <si>
    <t>Bittrex-BTC-EDG</t>
  </si>
  <si>
    <t>Bittrex-BTC-EFL</t>
  </si>
  <si>
    <t>Bittrex-BTC-EGC</t>
  </si>
  <si>
    <t>Bittrex-BTC-EMC</t>
  </si>
  <si>
    <t>Bittrex-BTC-EMC2</t>
  </si>
  <si>
    <t>Bittrex-BTC-ENG</t>
  </si>
  <si>
    <t>Bittrex-BTC-ENRG</t>
  </si>
  <si>
    <t>Bittrex-BTC-ERC</t>
  </si>
  <si>
    <t>Bittrex-BTC-ETC</t>
  </si>
  <si>
    <t>Bittrex-BTC-ETH</t>
  </si>
  <si>
    <t>Bittrex-BTC-EXCL</t>
  </si>
  <si>
    <t>Bittrex-BTC-EXP</t>
  </si>
  <si>
    <t>Bittrex-BTC-FAIR</t>
  </si>
  <si>
    <t>Bittrex-BTC-FCT</t>
  </si>
  <si>
    <t>Bittrex-BTC-FLDC</t>
  </si>
  <si>
    <t>Bittrex-BTC-FLO</t>
  </si>
  <si>
    <t>Bittrex-BTC-FTC</t>
  </si>
  <si>
    <t>Bittrex-BTC-GAM</t>
  </si>
  <si>
    <t>Bittrex-BTC-GAME</t>
  </si>
  <si>
    <t>Bittrex-BTC-GBG</t>
  </si>
  <si>
    <t>Bittrex-BTC-GBYTE</t>
  </si>
  <si>
    <t>Bittrex-BTC-GEO</t>
  </si>
  <si>
    <t>Bittrex-BTC-GLD</t>
  </si>
  <si>
    <t>Bittrex-BTC-GNO</t>
  </si>
  <si>
    <t>Bittrex-BTC-GNT</t>
  </si>
  <si>
    <t>Bittrex-BTC-GOLOS</t>
  </si>
  <si>
    <t>Bittrex-BTC-GRC</t>
  </si>
  <si>
    <t>Bittrex-BTC-GRS</t>
  </si>
  <si>
    <t>Bittrex-BTC-GUP</t>
  </si>
  <si>
    <t>Bittrex-BTC-HMQ</t>
  </si>
  <si>
    <t>Bittrex-BTC-INCNT</t>
  </si>
  <si>
    <t>Bittrex-BTC-IOC</t>
  </si>
  <si>
    <t>Bittrex-BTC-ION</t>
  </si>
  <si>
    <t>Bittrex-BTC-IOP</t>
  </si>
  <si>
    <t>Bittrex-BTC-KMD</t>
  </si>
  <si>
    <t>Bittrex-BTC-KORE</t>
  </si>
  <si>
    <t>Bittrex-BTC-LBC</t>
  </si>
  <si>
    <t>Bittrex-BTC-LGD</t>
  </si>
  <si>
    <t>Bittrex-BTC-LMC</t>
  </si>
  <si>
    <t>Bittrex-BTC-LSK</t>
  </si>
  <si>
    <t>Bittrex-BTC-LTC</t>
  </si>
  <si>
    <t>Bittrex-BTC-LUN</t>
  </si>
  <si>
    <t>Bittrex-BTC-MANA</t>
  </si>
  <si>
    <t>Bittrex-BTC-MCO</t>
  </si>
  <si>
    <t>Bittrex-BTC-MEME</t>
  </si>
  <si>
    <t>Bittrex-BTC-MER</t>
  </si>
  <si>
    <t>Bittrex-BTC-MLN</t>
  </si>
  <si>
    <t>Bittrex-BTC-MONA</t>
  </si>
  <si>
    <t>Bittrex-BTC-MUE</t>
  </si>
  <si>
    <t>Bittrex-BTC-MUSIC</t>
  </si>
  <si>
    <t>Bittrex-BTC-NAV</t>
  </si>
  <si>
    <t>Bittrex-BTC-NBT</t>
  </si>
  <si>
    <t>Bittrex-BTC-NEO</t>
  </si>
  <si>
    <t>Bittrex-BTC-NEOS</t>
  </si>
  <si>
    <t>Bittrex-BTC-NLG</t>
  </si>
  <si>
    <t>Bittrex-BTC-NMR</t>
  </si>
  <si>
    <t>Bittrex-BTC-NXC</t>
  </si>
  <si>
    <t>Bittrex-BTC-NXS</t>
  </si>
  <si>
    <t>Bittrex-BTC-NXT</t>
  </si>
  <si>
    <t>Bittrex-BTC-OK</t>
  </si>
  <si>
    <t>Bittrex-BTC-OMG</t>
  </si>
  <si>
    <t>Bittrex-BTC-OMNI</t>
  </si>
  <si>
    <t>Bittrex-BTC-PART</t>
  </si>
  <si>
    <t>Bittrex-BTC-PAY</t>
  </si>
  <si>
    <t>Bittrex-BTC-PINK</t>
  </si>
  <si>
    <t>Bittrex-BTC-PIVX</t>
  </si>
  <si>
    <t>Bittrex-BTC-PKB</t>
  </si>
  <si>
    <t>Bittrex-BTC-POT</t>
  </si>
  <si>
    <t>Bittrex-BTC-POWR</t>
  </si>
  <si>
    <t>Bittrex-BTC-PPC</t>
  </si>
  <si>
    <t>Bittrex-BTC-PTC</t>
  </si>
  <si>
    <t>Bittrex-BTC-PTOY</t>
  </si>
  <si>
    <t>Bittrex-BTC-QRL</t>
  </si>
  <si>
    <t>Bittrex-BTC-QTUM</t>
  </si>
  <si>
    <t>Bittrex-BTC-QWARK</t>
  </si>
  <si>
    <t>Bittrex-BTC-RADS</t>
  </si>
  <si>
    <t>Bittrex-BTC-RBY</t>
  </si>
  <si>
    <t>Bittrex-BTC-RCN</t>
  </si>
  <si>
    <t>Bittrex-BTC-RDD</t>
  </si>
  <si>
    <t>Bittrex-BTC-REP</t>
  </si>
  <si>
    <t>Bittrex-BTC-RLC</t>
  </si>
  <si>
    <t>Bittrex-BTC-SALT</t>
  </si>
  <si>
    <t>Bittrex-BTC-SBD</t>
  </si>
  <si>
    <t>Bittrex-BTC-SC</t>
  </si>
  <si>
    <t>Bittrex-BTC-SEQ</t>
  </si>
  <si>
    <t>Bittrex-BTC-SHIFT</t>
  </si>
  <si>
    <t>Bittrex-BTC-SIB</t>
  </si>
  <si>
    <t>Bittrex-BTC-SLR</t>
  </si>
  <si>
    <t>Bittrex-BTC-SLS</t>
  </si>
  <si>
    <t>Bittrex-BTC-SNRG</t>
  </si>
  <si>
    <t>Bittrex-BTC-SNT</t>
  </si>
  <si>
    <t>Bittrex-BTC-SPHR</t>
  </si>
  <si>
    <t>Bittrex-BTC-SPR</t>
  </si>
  <si>
    <t>Bittrex-BTC-START</t>
  </si>
  <si>
    <t>Bittrex-BTC-STEEM</t>
  </si>
  <si>
    <t>Bittrex-BTC-STORJ</t>
  </si>
  <si>
    <t>Bittrex-BTC-STRAT</t>
  </si>
  <si>
    <t>Bittrex-BTC-SWIFT</t>
  </si>
  <si>
    <t>Bittrex-BTC-SWT</t>
  </si>
  <si>
    <t>Bittrex-BTC-SYNX</t>
  </si>
  <si>
    <t>Bittrex-BTC-SYS</t>
  </si>
  <si>
    <t>Bittrex-BTC-THC</t>
  </si>
  <si>
    <t>Bittrex-BTC-TIX</t>
  </si>
  <si>
    <t>Bittrex-BTC-TKS</t>
  </si>
  <si>
    <t>Bittrex-BTC-TRST</t>
  </si>
  <si>
    <t>Bittrex-BTC-TRUST</t>
  </si>
  <si>
    <t>Bittrex-BTC-TX</t>
  </si>
  <si>
    <t>Bittrex-BTC-UBQ</t>
  </si>
  <si>
    <t>Bittrex-BTC-UNB</t>
  </si>
  <si>
    <t>Bittrex-BTC-VIA</t>
  </si>
  <si>
    <t>Bittrex-BTC-VIB</t>
  </si>
  <si>
    <t>Bittrex-BTC-VRC</t>
  </si>
  <si>
    <t>Bittrex-BTC-VRM</t>
  </si>
  <si>
    <t>Bittrex-BTC-VTC</t>
  </si>
  <si>
    <t>Bittrex-BTC-VTR</t>
  </si>
  <si>
    <t>Bittrex-BTC-WAVES</t>
  </si>
  <si>
    <t>Bittrex-BTC-WINGS</t>
  </si>
  <si>
    <t>Bittrex-BTC-XCP</t>
  </si>
  <si>
    <t>Bittrex-BTC-XDN</t>
  </si>
  <si>
    <t>Bittrex-BTC-XEL</t>
  </si>
  <si>
    <t>Bittrex-BTC-XEM</t>
  </si>
  <si>
    <t>Bittrex-BTC-XLM</t>
  </si>
  <si>
    <t>Bittrex-BTC-XMG</t>
  </si>
  <si>
    <t>Bittrex-BTC-XMR</t>
  </si>
  <si>
    <t>Bittrex-BTC-XMY</t>
  </si>
  <si>
    <t>Bittrex-BTC-XRP</t>
  </si>
  <si>
    <t>Bittrex-BTC-XST</t>
  </si>
  <si>
    <t>Bittrex-BTC-XVC</t>
  </si>
  <si>
    <t>Bittrex-BTC-XVG</t>
  </si>
  <si>
    <t>Bittrex-BTC-XWC</t>
  </si>
  <si>
    <t>Bittrex-BTC-XZC</t>
  </si>
  <si>
    <t>Bittrex-BTC-ZCL</t>
  </si>
  <si>
    <t>Bittrex-BTC-ZEC</t>
  </si>
  <si>
    <t>Bittrex-BTC-ZEN</t>
  </si>
  <si>
    <t>Bittrex-ETH-ADA</t>
  </si>
  <si>
    <t>Bittrex-ETH-ADT</t>
  </si>
  <si>
    <t>Bittrex-ETH-ADX</t>
  </si>
  <si>
    <t>Bittrex-ETH-ANT</t>
  </si>
  <si>
    <t>Bittrex-ETH-BAT</t>
  </si>
  <si>
    <t>Bittrex-ETH-BNT</t>
  </si>
  <si>
    <t>Bittrex-ETH-BTG</t>
  </si>
  <si>
    <t>Bittrex-ETH-CFI</t>
  </si>
  <si>
    <t>Bittrex-ETH-CRB</t>
  </si>
  <si>
    <t>Bittrex-ETH-CVC</t>
  </si>
  <si>
    <t>Bittrex-ETH-DASH</t>
  </si>
  <si>
    <t>Bittrex-ETH-DGB</t>
  </si>
  <si>
    <t>Bittrex-ETH-DNT</t>
  </si>
  <si>
    <t>Bittrex-ETH-ENG</t>
  </si>
  <si>
    <t>Bittrex-ETH-ETC</t>
  </si>
  <si>
    <t>Bittrex-ETH-FCT</t>
  </si>
  <si>
    <t>Bittrex-ETH-GNO</t>
  </si>
  <si>
    <t>Bittrex-ETH-GNT</t>
  </si>
  <si>
    <t>Bittrex-ETH-GUP</t>
  </si>
  <si>
    <t>Bittrex-ETH-HMQ</t>
  </si>
  <si>
    <t>Bittrex-ETH-LGD</t>
  </si>
  <si>
    <t>Bittrex-ETH-LTC</t>
  </si>
  <si>
    <t>Bittrex-ETH-LUN</t>
  </si>
  <si>
    <t>Bittrex-ETH-MANA</t>
  </si>
  <si>
    <t>Bittrex-ETH-MCO</t>
  </si>
  <si>
    <t>Bittrex-ETH-NEO</t>
  </si>
  <si>
    <t>Bittrex-ETH-NMR</t>
  </si>
  <si>
    <t>Bittrex-ETH-OMG</t>
  </si>
  <si>
    <t>Bittrex-ETH-PAY</t>
  </si>
  <si>
    <t>Bittrex-ETH-POWR</t>
  </si>
  <si>
    <t>Bittrex-ETH-PTOY</t>
  </si>
  <si>
    <t>Bittrex-ETH-QRL</t>
  </si>
  <si>
    <t>Bittrex-ETH-QTUM</t>
  </si>
  <si>
    <t>Bittrex-ETH-RCN</t>
  </si>
  <si>
    <t>Bittrex-ETH-REP</t>
  </si>
  <si>
    <t>Bittrex-ETH-RLC</t>
  </si>
  <si>
    <t>Bittrex-ETH-SALT</t>
  </si>
  <si>
    <t>Bittrex-ETH-SC</t>
  </si>
  <si>
    <t>Bittrex-ETH-SNT</t>
  </si>
  <si>
    <t>Bittrex-ETH-STORJ</t>
  </si>
  <si>
    <t>Bittrex-ETH-STRAT</t>
  </si>
  <si>
    <t>Bittrex-ETH-TIX</t>
  </si>
  <si>
    <t>Bittrex-ETH-TRST</t>
  </si>
  <si>
    <t>Bittrex-ETH-VIB</t>
  </si>
  <si>
    <t>Bittrex-ETH-WAVES</t>
  </si>
  <si>
    <t>Bittrex-ETH-WINGS</t>
  </si>
  <si>
    <t>Bittrex-ETH-XEM</t>
  </si>
  <si>
    <t>Bittrex-ETH-XLM</t>
  </si>
  <si>
    <t>Bittrex-ETH-XMR</t>
  </si>
  <si>
    <t>Bittrex-ETH-XRP</t>
  </si>
  <si>
    <t>Bittrex-ETH-ZEC</t>
  </si>
  <si>
    <t>Bittrex-USDT-BTC</t>
  </si>
  <si>
    <t>Bittrex-USDT-BTG</t>
  </si>
  <si>
    <t>Bittrex-USDT-DASH</t>
  </si>
  <si>
    <t>Bittrex-USDT-ETC</t>
  </si>
  <si>
    <t>Bittrex-USDT-ETH</t>
  </si>
  <si>
    <t>Bittrex-USDT-LTC</t>
  </si>
  <si>
    <t>Bittrex-USDT-NEO</t>
  </si>
  <si>
    <t>Bittrex-USDT-OMG</t>
  </si>
  <si>
    <t>Bittrex-USDT-XMR</t>
  </si>
  <si>
    <t>Bittrex-USDT-XRP</t>
  </si>
  <si>
    <t>Bittrex-USDT-ZEC</t>
  </si>
  <si>
    <t>Kraken-USD-USDT</t>
  </si>
  <si>
    <t>ABY</t>
  </si>
  <si>
    <t>ADT</t>
  </si>
  <si>
    <t>AEON</t>
  </si>
  <si>
    <t>ANT</t>
  </si>
  <si>
    <t>ARDR</t>
  </si>
  <si>
    <t>AUR</t>
  </si>
  <si>
    <t>BAY</t>
  </si>
  <si>
    <t>BCY</t>
  </si>
  <si>
    <t>BITB</t>
  </si>
  <si>
    <t>BLITZ</t>
  </si>
  <si>
    <t>BLK</t>
  </si>
  <si>
    <t>BLOCK</t>
  </si>
  <si>
    <t>BRK</t>
  </si>
  <si>
    <t>BRX</t>
  </si>
  <si>
    <t>BURST</t>
  </si>
  <si>
    <t>BYC</t>
  </si>
  <si>
    <t>CANN</t>
  </si>
  <si>
    <t>CFI</t>
  </si>
  <si>
    <t>CLAM</t>
  </si>
  <si>
    <t>CLOAK</t>
  </si>
  <si>
    <t>CLUB</t>
  </si>
  <si>
    <t>COVAL</t>
  </si>
  <si>
    <t>CRB</t>
  </si>
  <si>
    <t>CRW</t>
  </si>
  <si>
    <t>CURE</t>
  </si>
  <si>
    <t>CVC</t>
  </si>
  <si>
    <t>DCR</t>
  </si>
  <si>
    <t>DCT</t>
  </si>
  <si>
    <t>DGB</t>
  </si>
  <si>
    <t>DMD</t>
  </si>
  <si>
    <t>DOGE</t>
  </si>
  <si>
    <t>DOPE</t>
  </si>
  <si>
    <t>DTB</t>
  </si>
  <si>
    <t>DYN</t>
  </si>
  <si>
    <t>EBST</t>
  </si>
  <si>
    <t>EFL</t>
  </si>
  <si>
    <t>EGC</t>
  </si>
  <si>
    <t>EMC</t>
  </si>
  <si>
    <t>EMC2</t>
  </si>
  <si>
    <t>ENRG</t>
  </si>
  <si>
    <t>ERC</t>
  </si>
  <si>
    <t>EXCL</t>
  </si>
  <si>
    <t>EXP</t>
  </si>
  <si>
    <t>FAIR</t>
  </si>
  <si>
    <t>FCT</t>
  </si>
  <si>
    <t>FLDC</t>
  </si>
  <si>
    <t>FLO</t>
  </si>
  <si>
    <t>FTC</t>
  </si>
  <si>
    <t>GAM</t>
  </si>
  <si>
    <t>GAME</t>
  </si>
  <si>
    <t>GBYTE</t>
  </si>
  <si>
    <t>GEO</t>
  </si>
  <si>
    <t>GLD</t>
  </si>
  <si>
    <t>GNO</t>
  </si>
  <si>
    <t>GNT</t>
  </si>
  <si>
    <t>GOLOS</t>
  </si>
  <si>
    <t>GRC</t>
  </si>
  <si>
    <t>GUP</t>
  </si>
  <si>
    <t>HMQ</t>
  </si>
  <si>
    <t>INCNT</t>
  </si>
  <si>
    <t>IOC</t>
  </si>
  <si>
    <t>ION</t>
  </si>
  <si>
    <t>IOP</t>
  </si>
  <si>
    <t>KORE</t>
  </si>
  <si>
    <t>LBC</t>
  </si>
  <si>
    <t>LGD</t>
  </si>
  <si>
    <t>LMC</t>
  </si>
  <si>
    <t>LUN</t>
  </si>
  <si>
    <t>MEME</t>
  </si>
  <si>
    <t>MER</t>
  </si>
  <si>
    <t>MLN</t>
  </si>
  <si>
    <t>MONA</t>
  </si>
  <si>
    <t>MUE</t>
  </si>
  <si>
    <t>MUSIC</t>
  </si>
  <si>
    <t>NAV</t>
  </si>
  <si>
    <t>NBT</t>
  </si>
  <si>
    <t>NEOS</t>
  </si>
  <si>
    <t>NLG</t>
  </si>
  <si>
    <t>NMR</t>
  </si>
  <si>
    <t>NXC</t>
  </si>
  <si>
    <t>NXS</t>
  </si>
  <si>
    <t>OK</t>
  </si>
  <si>
    <t>PART</t>
  </si>
  <si>
    <t>PAY</t>
  </si>
  <si>
    <t>PINK</t>
  </si>
  <si>
    <t>PIVX</t>
  </si>
  <si>
    <t>PKB</t>
  </si>
  <si>
    <t>POT</t>
  </si>
  <si>
    <t>PPC</t>
  </si>
  <si>
    <t>PTC</t>
  </si>
  <si>
    <t>PTOY</t>
  </si>
  <si>
    <t>QRL</t>
  </si>
  <si>
    <t>QWARK</t>
  </si>
  <si>
    <t>RADS</t>
  </si>
  <si>
    <t>RBY</t>
  </si>
  <si>
    <t>RDD</t>
  </si>
  <si>
    <t>REP</t>
  </si>
  <si>
    <t>RLC</t>
  </si>
  <si>
    <t>SC</t>
  </si>
  <si>
    <t>SEQ</t>
  </si>
  <si>
    <t>SHIFT</t>
  </si>
  <si>
    <t>SIB</t>
  </si>
  <si>
    <t>SLR</t>
  </si>
  <si>
    <t>SLS</t>
  </si>
  <si>
    <t>SNRG</t>
  </si>
  <si>
    <t>SPHR</t>
  </si>
  <si>
    <t>SPR</t>
  </si>
  <si>
    <t>START</t>
  </si>
  <si>
    <t>SWIFT</t>
  </si>
  <si>
    <t>SWT</t>
  </si>
  <si>
    <t>SYNX</t>
  </si>
  <si>
    <t>SYS</t>
  </si>
  <si>
    <t>THC</t>
  </si>
  <si>
    <t>TIX</t>
  </si>
  <si>
    <t>TKS</t>
  </si>
  <si>
    <t>TRST</t>
  </si>
  <si>
    <t>TRUST</t>
  </si>
  <si>
    <t>TX</t>
  </si>
  <si>
    <t>UBQ</t>
  </si>
  <si>
    <t>UNB</t>
  </si>
  <si>
    <t>VIA</t>
  </si>
  <si>
    <t>VRC</t>
  </si>
  <si>
    <t>VRM</t>
  </si>
  <si>
    <t>VTR</t>
  </si>
  <si>
    <t>WINGS</t>
  </si>
  <si>
    <t>XCP</t>
  </si>
  <si>
    <t>XDN</t>
  </si>
  <si>
    <t>XEL</t>
  </si>
  <si>
    <t>XEM</t>
  </si>
  <si>
    <t>XMG</t>
  </si>
  <si>
    <t>XMY</t>
  </si>
  <si>
    <t>XST</t>
  </si>
  <si>
    <t>XVC</t>
  </si>
  <si>
    <t>XWC</t>
  </si>
  <si>
    <t>ZCL</t>
  </si>
  <si>
    <t>ZEN</t>
  </si>
  <si>
    <t>Burst</t>
  </si>
  <si>
    <t>DigiByte</t>
  </si>
  <si>
    <t>Gas</t>
  </si>
  <si>
    <t>Omni</t>
  </si>
  <si>
    <t>Steem Dollars</t>
  </si>
  <si>
    <t>Syscoin</t>
  </si>
  <si>
    <t>Viacoin</t>
  </si>
  <si>
    <t>NEM</t>
  </si>
  <si>
    <t>0x</t>
  </si>
  <si>
    <t>Cardano</t>
  </si>
  <si>
    <t>Power Ledger</t>
  </si>
  <si>
    <t>Status</t>
  </si>
  <si>
    <t>Wings</t>
  </si>
  <si>
    <t>Target</t>
  </si>
  <si>
    <t>Market</t>
  </si>
  <si>
    <t>Total Units</t>
  </si>
  <si>
    <t>Available Units</t>
  </si>
  <si>
    <t>Pending Units</t>
  </si>
  <si>
    <t>Bittrex-USDT-ADA</t>
  </si>
  <si>
    <t>Bittrex-USDT-NXT</t>
  </si>
  <si>
    <t>Bittrex-USDT-XVG</t>
  </si>
  <si>
    <t>Bittrex-BTC-UKG</t>
  </si>
  <si>
    <t>UKG</t>
  </si>
  <si>
    <t>Bittrex-ETH-UKG</t>
  </si>
  <si>
    <t>Bid</t>
  </si>
  <si>
    <t>Available</t>
  </si>
  <si>
    <t>Last Update:</t>
  </si>
  <si>
    <t>New Trades:</t>
  </si>
  <si>
    <t>Open Orders</t>
  </si>
  <si>
    <t>OrderUuid</t>
  </si>
  <si>
    <t>iExec RLC</t>
  </si>
  <si>
    <t>Additional Fees</t>
  </si>
  <si>
    <t>UniqueId</t>
  </si>
  <si>
    <t>USDT Price</t>
  </si>
  <si>
    <t>ETH Price</t>
  </si>
  <si>
    <t>BTC Price</t>
  </si>
  <si>
    <t>BNB Price</t>
  </si>
  <si>
    <t>Open</t>
  </si>
  <si>
    <t>High</t>
  </si>
  <si>
    <t>Low</t>
  </si>
  <si>
    <t>Close</t>
  </si>
  <si>
    <t>Volume</t>
  </si>
  <si>
    <t>Market Cap</t>
  </si>
  <si>
    <t>ethereum</t>
  </si>
  <si>
    <t>bitcoin</t>
  </si>
  <si>
    <t>Synereo</t>
  </si>
  <si>
    <t>Auroracoin</t>
  </si>
  <si>
    <t>Bitcrystals</t>
  </si>
  <si>
    <t>Bean Cash</t>
  </si>
  <si>
    <t>Blocknet</t>
  </si>
  <si>
    <t>Clams</t>
  </si>
  <si>
    <t>Creditbit</t>
  </si>
  <si>
    <t>Curecoin</t>
  </si>
  <si>
    <t>e-Gulden</t>
  </si>
  <si>
    <t>Emercoin</t>
  </si>
  <si>
    <t>Energycoin</t>
  </si>
  <si>
    <t>FlorinCoin</t>
  </si>
  <si>
    <t>Golos Gold</t>
  </si>
  <si>
    <t>Byteball Bytes</t>
  </si>
  <si>
    <t>Matchpool</t>
  </si>
  <si>
    <t>I/O Coin</t>
  </si>
  <si>
    <t>Internet of People</t>
  </si>
  <si>
    <t>Legends Room</t>
  </si>
  <si>
    <t>LoMoCoin</t>
  </si>
  <si>
    <t>Memetic / PepeCoin</t>
  </si>
  <si>
    <t>Nxt</t>
  </si>
  <si>
    <t>OKCash</t>
  </si>
  <si>
    <t>TenX</t>
  </si>
  <si>
    <t>Pesetacoin</t>
  </si>
  <si>
    <t>Rubycoin</t>
  </si>
  <si>
    <t>SIBCoin</t>
  </si>
  <si>
    <t>Startcoin</t>
  </si>
  <si>
    <t>Steem</t>
  </si>
  <si>
    <t>Swarm City</t>
  </si>
  <si>
    <t>WeTrust</t>
  </si>
  <si>
    <t>Unikoin Gold</t>
  </si>
  <si>
    <t>VeriumReserve</t>
  </si>
  <si>
    <t>Stealthcoin</t>
  </si>
  <si>
    <t>ZClassic</t>
  </si>
  <si>
    <t>ZenCash</t>
  </si>
  <si>
    <t>cardano</t>
  </si>
  <si>
    <t>bitcoinx</t>
  </si>
  <si>
    <t>dash</t>
  </si>
  <si>
    <t>edgeless</t>
  </si>
  <si>
    <t>funfair</t>
  </si>
  <si>
    <t>gas</t>
  </si>
  <si>
    <t>groestlcoin</t>
  </si>
  <si>
    <t>iota</t>
  </si>
  <si>
    <t>litecoin</t>
  </si>
  <si>
    <t>neo</t>
  </si>
  <si>
    <t>nxt</t>
  </si>
  <si>
    <t>omisego</t>
  </si>
  <si>
    <t>bitcoin-cash</t>
  </si>
  <si>
    <t>binance-coin</t>
  </si>
  <si>
    <t>bitcoin-gold</t>
  </si>
  <si>
    <t>ethereum-classic</t>
  </si>
  <si>
    <t>request-network</t>
  </si>
  <si>
    <t>super-bitcoin</t>
  </si>
  <si>
    <t>status</t>
  </si>
  <si>
    <t>blocktix</t>
  </si>
  <si>
    <t>tron</t>
  </si>
  <si>
    <t>tether</t>
  </si>
  <si>
    <t>vechain</t>
  </si>
  <si>
    <t>vertcoin</t>
  </si>
  <si>
    <t>walton</t>
  </si>
  <si>
    <t>nem</t>
  </si>
  <si>
    <t>stellar</t>
  </si>
  <si>
    <t>monero</t>
  </si>
  <si>
    <t>ripple</t>
  </si>
  <si>
    <t>zcoin</t>
  </si>
  <si>
    <t>zcash</t>
  </si>
  <si>
    <t>-</t>
  </si>
  <si>
    <t>Commission Paid</t>
  </si>
  <si>
    <t>Total Value</t>
  </si>
  <si>
    <t>End Date</t>
  </si>
  <si>
    <t>Bittrex-BTC-IGNIS</t>
  </si>
  <si>
    <t>IGNIS</t>
  </si>
  <si>
    <t>Ignis</t>
  </si>
  <si>
    <t>Binance-BNB-ADX</t>
  </si>
  <si>
    <t>Binance Coin</t>
  </si>
  <si>
    <t>Binance-BNB-AE</t>
  </si>
  <si>
    <t>AE</t>
  </si>
  <si>
    <t>Aeternity</t>
  </si>
  <si>
    <t>Binance-BNB-AION</t>
  </si>
  <si>
    <t>AION</t>
  </si>
  <si>
    <t>Aion</t>
  </si>
  <si>
    <t>Binance-BNB-AMB</t>
  </si>
  <si>
    <t>AMB</t>
  </si>
  <si>
    <t>Ambrosus</t>
  </si>
  <si>
    <t>Binance-BNB-APPC</t>
  </si>
  <si>
    <t>APPC</t>
  </si>
  <si>
    <t>AppCoins</t>
  </si>
  <si>
    <t>Binance-BNB-BAT</t>
  </si>
  <si>
    <t>Binance-BNB-BCPT</t>
  </si>
  <si>
    <t>BCPT</t>
  </si>
  <si>
    <t>BlockMason Credit Protocol</t>
  </si>
  <si>
    <t>Binance-BNB-BLZ</t>
  </si>
  <si>
    <t>BLZ</t>
  </si>
  <si>
    <t>Bluzelle</t>
  </si>
  <si>
    <t>Binance-BNB-BRD</t>
  </si>
  <si>
    <t>BRD</t>
  </si>
  <si>
    <t>Bread</t>
  </si>
  <si>
    <t>Binance-BNB-BTS</t>
  </si>
  <si>
    <t>Binance-BNB-CMT</t>
  </si>
  <si>
    <t>CMT</t>
  </si>
  <si>
    <t>CyberMiles</t>
  </si>
  <si>
    <t>Binance-BNB-CND</t>
  </si>
  <si>
    <t>CND</t>
  </si>
  <si>
    <t>Cindicator</t>
  </si>
  <si>
    <t>Binance-BNB-DLT</t>
  </si>
  <si>
    <t>DLT</t>
  </si>
  <si>
    <t>Agrello</t>
  </si>
  <si>
    <t>Binance-BNB-GTO</t>
  </si>
  <si>
    <t>GTO</t>
  </si>
  <si>
    <t>Gifto</t>
  </si>
  <si>
    <t>Binance-BNB-ICX</t>
  </si>
  <si>
    <t>ICX</t>
  </si>
  <si>
    <t>ICON</t>
  </si>
  <si>
    <t>Binance-BNB-IOTA</t>
  </si>
  <si>
    <t>Binance-BNB-LSK</t>
  </si>
  <si>
    <t>Binance-BNB-LTC</t>
  </si>
  <si>
    <t>Binance-BNB-MCO</t>
  </si>
  <si>
    <t>Binance-BNB-NANO</t>
  </si>
  <si>
    <t>NANO</t>
  </si>
  <si>
    <t>Binance-BNB-NAV</t>
  </si>
  <si>
    <t>Binance-BNB-NEBL</t>
  </si>
  <si>
    <t>NEBL</t>
  </si>
  <si>
    <t>Neblio</t>
  </si>
  <si>
    <t>Binance-BNB-NEO</t>
  </si>
  <si>
    <t>Binance-BNB-NULS</t>
  </si>
  <si>
    <t>NULS</t>
  </si>
  <si>
    <t>Nuls</t>
  </si>
  <si>
    <t>Binance-BNB-OST</t>
  </si>
  <si>
    <t>OST</t>
  </si>
  <si>
    <t>Binance-BNB-PIVX</t>
  </si>
  <si>
    <t>Binance-BNB-POWR</t>
  </si>
  <si>
    <t>Binance-BNB-QSP</t>
  </si>
  <si>
    <t>QSP</t>
  </si>
  <si>
    <t>Quantstamp</t>
  </si>
  <si>
    <t>Binance-BNB-RCN</t>
  </si>
  <si>
    <t>Binance-BNB-RDN</t>
  </si>
  <si>
    <t>RDN</t>
  </si>
  <si>
    <t>Raiden Network Token</t>
  </si>
  <si>
    <t>Binance-BNB-RLC</t>
  </si>
  <si>
    <t>Binance-BNB-STEEM</t>
  </si>
  <si>
    <t>Binance-BNB-TRIG</t>
  </si>
  <si>
    <t>TRIG</t>
  </si>
  <si>
    <t>Triggers</t>
  </si>
  <si>
    <t>Binance-BNB-VEN</t>
  </si>
  <si>
    <t>VeChain</t>
  </si>
  <si>
    <t>Binance-BNB-VIA</t>
  </si>
  <si>
    <t>Binance-BNB-WABI</t>
  </si>
  <si>
    <t>WABI</t>
  </si>
  <si>
    <t>WaBi</t>
  </si>
  <si>
    <t>Binance-BNB-WAVES</t>
  </si>
  <si>
    <t>Binance-BNB-WTC</t>
  </si>
  <si>
    <t>Binance-BNB-XLM</t>
  </si>
  <si>
    <t>Binance-BNB-XZC</t>
  </si>
  <si>
    <t>Binance-BNB-YOYO</t>
  </si>
  <si>
    <t>YOYO</t>
  </si>
  <si>
    <t>Binance-BTC-ADA</t>
  </si>
  <si>
    <t>Binance-BTC-ADX</t>
  </si>
  <si>
    <t>Binance-BTC-AE</t>
  </si>
  <si>
    <t>Binance-BTC-AION</t>
  </si>
  <si>
    <t>Binance-BTC-AMB</t>
  </si>
  <si>
    <t>Binance-BTC-APPC</t>
  </si>
  <si>
    <t>Binance-BTC-ARK</t>
  </si>
  <si>
    <t>Binance-BTC-ARN</t>
  </si>
  <si>
    <t>ARN</t>
  </si>
  <si>
    <t>Aeron</t>
  </si>
  <si>
    <t>Binance-BTC-AST</t>
  </si>
  <si>
    <t>AST</t>
  </si>
  <si>
    <t>AirSwap</t>
  </si>
  <si>
    <t>Binance-BTC-BAT</t>
  </si>
  <si>
    <t>Binance-BTC-BCD</t>
  </si>
  <si>
    <t>BCD</t>
  </si>
  <si>
    <t>Bitcoin Diamond</t>
  </si>
  <si>
    <t>Binance-BTC-BCPT</t>
  </si>
  <si>
    <t>Binance-BTC-BLZ</t>
  </si>
  <si>
    <t>Binance-BTC-BNB</t>
  </si>
  <si>
    <t>Binance-BTC-BNT</t>
  </si>
  <si>
    <t>Binance-BTC-BQX</t>
  </si>
  <si>
    <t>BQX</t>
  </si>
  <si>
    <t>Binance-BTC-BRD</t>
  </si>
  <si>
    <t>Binance-BTC-BTG</t>
  </si>
  <si>
    <t>Binance-BTC-BTS</t>
  </si>
  <si>
    <t>Binance-BTC-CDT</t>
  </si>
  <si>
    <t>CDT</t>
  </si>
  <si>
    <t>Binance-BTC-CHAT</t>
  </si>
  <si>
    <t>CHAT</t>
  </si>
  <si>
    <t>ChatCoin</t>
  </si>
  <si>
    <t>Binance-BTC-CMT</t>
  </si>
  <si>
    <t>Binance-BTC-CND</t>
  </si>
  <si>
    <t>Binance-BTC-CTR</t>
  </si>
  <si>
    <t>CTR</t>
  </si>
  <si>
    <t>Centra</t>
  </si>
  <si>
    <t>Binance-BTC-DASH</t>
  </si>
  <si>
    <t>Binance-BTC-DGD</t>
  </si>
  <si>
    <t>DGD</t>
  </si>
  <si>
    <t>DigixDAO</t>
  </si>
  <si>
    <t>Binance-BTC-DLT</t>
  </si>
  <si>
    <t>Binance-BTC-DNT</t>
  </si>
  <si>
    <t>Binance-BTC-EDO</t>
  </si>
  <si>
    <t>EDO</t>
  </si>
  <si>
    <t>Eidoo</t>
  </si>
  <si>
    <t>Binance-BTC-ELF</t>
  </si>
  <si>
    <t>ELF</t>
  </si>
  <si>
    <t>aelf</t>
  </si>
  <si>
    <t>Binance-BTC-ENG</t>
  </si>
  <si>
    <t>Binance-BTC-ENJ</t>
  </si>
  <si>
    <t>ENJ</t>
  </si>
  <si>
    <t>Enjin Coin</t>
  </si>
  <si>
    <t>Binance-BTC-EOS</t>
  </si>
  <si>
    <t>EOS</t>
  </si>
  <si>
    <t>Binance-BTC-ETC</t>
  </si>
  <si>
    <t>Binance-BTC-ETH</t>
  </si>
  <si>
    <t>Binance-BTC-EVX</t>
  </si>
  <si>
    <t>EVX</t>
  </si>
  <si>
    <t>Everex</t>
  </si>
  <si>
    <t>Binance-BTC-FUEL</t>
  </si>
  <si>
    <t>FUEL</t>
  </si>
  <si>
    <t>Etherparty</t>
  </si>
  <si>
    <t>Binance-BTC-FUN</t>
  </si>
  <si>
    <t>Binance-BTC-GAS</t>
  </si>
  <si>
    <t>Binance-BTC-GTO</t>
  </si>
  <si>
    <t>Binance-BTC-GVT</t>
  </si>
  <si>
    <t>GVT</t>
  </si>
  <si>
    <t>Genesis Vision</t>
  </si>
  <si>
    <t>Binance-BTC-GXS</t>
  </si>
  <si>
    <t>GXS</t>
  </si>
  <si>
    <t>Binance-BTC-HSR</t>
  </si>
  <si>
    <t>HSR</t>
  </si>
  <si>
    <t>Hshare</t>
  </si>
  <si>
    <t>Binance-BTC-ICN</t>
  </si>
  <si>
    <t>ICN</t>
  </si>
  <si>
    <t>Iconomi</t>
  </si>
  <si>
    <t>Binance-BTC-ICX</t>
  </si>
  <si>
    <t>Binance-BTC-INS</t>
  </si>
  <si>
    <t>INS</t>
  </si>
  <si>
    <t>INS Ecosystem</t>
  </si>
  <si>
    <t>Binance-BTC-IOST</t>
  </si>
  <si>
    <t>IOST</t>
  </si>
  <si>
    <t>IOStoken</t>
  </si>
  <si>
    <t>Binance-BTC-IOTA</t>
  </si>
  <si>
    <t>Binance-BTC-KMD</t>
  </si>
  <si>
    <t>Binance-BTC-KNC</t>
  </si>
  <si>
    <t>KNC</t>
  </si>
  <si>
    <t>Kyber Network</t>
  </si>
  <si>
    <t>Binance-BTC-LEND</t>
  </si>
  <si>
    <t>LEND</t>
  </si>
  <si>
    <t>ETHLend</t>
  </si>
  <si>
    <t>Binance-BTC-LINK</t>
  </si>
  <si>
    <t>LINK</t>
  </si>
  <si>
    <t>ChainLink</t>
  </si>
  <si>
    <t>Binance-BTC-LRC</t>
  </si>
  <si>
    <t>LRC</t>
  </si>
  <si>
    <t>Loopring</t>
  </si>
  <si>
    <t>Binance-BTC-LSK</t>
  </si>
  <si>
    <t>Binance-BTC-LTC</t>
  </si>
  <si>
    <t>Binance-BTC-LUN</t>
  </si>
  <si>
    <t>Binance-BTC-MANA</t>
  </si>
  <si>
    <t>Binance-BTC-MCO</t>
  </si>
  <si>
    <t>Binance-BTC-MDA</t>
  </si>
  <si>
    <t>MDA</t>
  </si>
  <si>
    <t>Moeda Loyalty Points</t>
  </si>
  <si>
    <t>Binance-BTC-MOD</t>
  </si>
  <si>
    <t>MOD</t>
  </si>
  <si>
    <t>Modum</t>
  </si>
  <si>
    <t>Binance-BTC-MTH</t>
  </si>
  <si>
    <t>MTH</t>
  </si>
  <si>
    <t>Monetha</t>
  </si>
  <si>
    <t>Binance-BTC-MTL</t>
  </si>
  <si>
    <t>Binance-BTC-NANO</t>
  </si>
  <si>
    <t>Binance-BTC-NAV</t>
  </si>
  <si>
    <t>Binance-BTC-NEBL</t>
  </si>
  <si>
    <t>Binance-BTC-NEO</t>
  </si>
  <si>
    <t>Binance-BTC-NULS</t>
  </si>
  <si>
    <t>Binance-BTC-OAX</t>
  </si>
  <si>
    <t>OAX</t>
  </si>
  <si>
    <t>Binance-BTC-OMG</t>
  </si>
  <si>
    <t>Binance-BTC-OST</t>
  </si>
  <si>
    <t>Binance-BTC-PIVX</t>
  </si>
  <si>
    <t>Binance-BTC-POE</t>
  </si>
  <si>
    <t>POE</t>
  </si>
  <si>
    <t>Po.et</t>
  </si>
  <si>
    <t>Binance-BTC-POWR</t>
  </si>
  <si>
    <t>Binance-BTC-PPT</t>
  </si>
  <si>
    <t>PPT</t>
  </si>
  <si>
    <t>Populous</t>
  </si>
  <si>
    <t>Binance-BTC-QSP</t>
  </si>
  <si>
    <t>Binance-BTC-QTUM</t>
  </si>
  <si>
    <t>Binance-BTC-RCN</t>
  </si>
  <si>
    <t>Binance-BTC-RDN</t>
  </si>
  <si>
    <t>Binance-BTC-REQ</t>
  </si>
  <si>
    <t>Request Network</t>
  </si>
  <si>
    <t>Binance-BTC-RLC</t>
  </si>
  <si>
    <t>Binance-BTC-SALT</t>
  </si>
  <si>
    <t>Binance-BTC-SNGLS</t>
  </si>
  <si>
    <t>SNGLS</t>
  </si>
  <si>
    <t>SingularDTV</t>
  </si>
  <si>
    <t>Binance-BTC-SNM</t>
  </si>
  <si>
    <t>SNM</t>
  </si>
  <si>
    <t>SONM</t>
  </si>
  <si>
    <t>Binance-BTC-SNT</t>
  </si>
  <si>
    <t>Binance-BTC-STEEM</t>
  </si>
  <si>
    <t>Binance-BTC-STORJ</t>
  </si>
  <si>
    <t>Binance-BTC-STRAT</t>
  </si>
  <si>
    <t>Binance-BTC-SUB</t>
  </si>
  <si>
    <t>SUB</t>
  </si>
  <si>
    <t>Substratum</t>
  </si>
  <si>
    <t>Binance-BTC-TNB</t>
  </si>
  <si>
    <t>TNB</t>
  </si>
  <si>
    <t>Time New Bank</t>
  </si>
  <si>
    <t>Binance-BTC-TNT</t>
  </si>
  <si>
    <t>TNT</t>
  </si>
  <si>
    <t>Tierion</t>
  </si>
  <si>
    <t>Binance-BTC-TRIG</t>
  </si>
  <si>
    <t>Binance-BTC-TRX</t>
  </si>
  <si>
    <t>TRON</t>
  </si>
  <si>
    <t>Binance-BTC-VEN</t>
  </si>
  <si>
    <t>Binance-BTC-VIA</t>
  </si>
  <si>
    <t>Binance-BTC-VIB</t>
  </si>
  <si>
    <t>Binance-BTC-VIBE</t>
  </si>
  <si>
    <t>VIBE</t>
  </si>
  <si>
    <t>Binance-BTC-WABI</t>
  </si>
  <si>
    <t>Binance-BTC-WAVES</t>
  </si>
  <si>
    <t>Binance-BTC-WINGS</t>
  </si>
  <si>
    <t>Binance-BTC-WTC</t>
  </si>
  <si>
    <t>Binance-BTC-XLM</t>
  </si>
  <si>
    <t>Binance-BTC-XMR</t>
  </si>
  <si>
    <t>Binance-BTC-XRP</t>
  </si>
  <si>
    <t>Binance-BTC-XVG</t>
  </si>
  <si>
    <t>Binance-BTC-XZC</t>
  </si>
  <si>
    <t>Binance-BTC-YOYO</t>
  </si>
  <si>
    <t>Binance-BTC-ZEC</t>
  </si>
  <si>
    <t>Binance-BTC-ZRX</t>
  </si>
  <si>
    <t>Binance-ETH-ADA</t>
  </si>
  <si>
    <t>Binance-ETH-ADX</t>
  </si>
  <si>
    <t>Binance-ETH-AE</t>
  </si>
  <si>
    <t>Binance-ETH-AION</t>
  </si>
  <si>
    <t>Binance-ETH-AMB</t>
  </si>
  <si>
    <t>Binance-ETH-APPC</t>
  </si>
  <si>
    <t>Binance-ETH-ARK</t>
  </si>
  <si>
    <t>Binance-ETH-ARN</t>
  </si>
  <si>
    <t>Binance-ETH-AST</t>
  </si>
  <si>
    <t>Binance-ETH-BAT</t>
  </si>
  <si>
    <t>Binance-ETH-BCD</t>
  </si>
  <si>
    <t>Binance-ETH-BCPT</t>
  </si>
  <si>
    <t>Binance-ETH-BLZ</t>
  </si>
  <si>
    <t>Binance-ETH-BNB</t>
  </si>
  <si>
    <t>Binance-ETH-BNT</t>
  </si>
  <si>
    <t>Binance-ETH-BQX</t>
  </si>
  <si>
    <t>Binance-ETH-BRD</t>
  </si>
  <si>
    <t>Binance-ETH-BTG</t>
  </si>
  <si>
    <t>Binance-ETH-BTS</t>
  </si>
  <si>
    <t>Binance-ETH-CDT</t>
  </si>
  <si>
    <t>Binance-ETH-CHAT</t>
  </si>
  <si>
    <t>Binance-ETH-CMT</t>
  </si>
  <si>
    <t>Binance-ETH-CND</t>
  </si>
  <si>
    <t>Binance-ETH-CTR</t>
  </si>
  <si>
    <t>Binance-ETH-DASH</t>
  </si>
  <si>
    <t>Binance-ETH-DGD</t>
  </si>
  <si>
    <t>Binance-ETH-DLT</t>
  </si>
  <si>
    <t>Binance-ETH-DNT</t>
  </si>
  <si>
    <t>Binance-ETH-EDO</t>
  </si>
  <si>
    <t>Binance-ETH-ELF</t>
  </si>
  <si>
    <t>Binance-ETH-ENG</t>
  </si>
  <si>
    <t>Binance-ETH-ENJ</t>
  </si>
  <si>
    <t>Binance-ETH-EOS</t>
  </si>
  <si>
    <t>Binance-ETH-ETC</t>
  </si>
  <si>
    <t>Binance-ETH-EVX</t>
  </si>
  <si>
    <t>Binance-ETH-FUEL</t>
  </si>
  <si>
    <t>Binance-ETH-FUN</t>
  </si>
  <si>
    <t>Binance-ETH-GTO</t>
  </si>
  <si>
    <t>Binance-ETH-GVT</t>
  </si>
  <si>
    <t>Binance-ETH-GXS</t>
  </si>
  <si>
    <t>Binance-ETH-HSR</t>
  </si>
  <si>
    <t>Binance-ETH-ICN</t>
  </si>
  <si>
    <t>Binance-ETH-ICX</t>
  </si>
  <si>
    <t>Binance-ETH-INS</t>
  </si>
  <si>
    <t>Binance-ETH-IOST</t>
  </si>
  <si>
    <t>Binance-ETH-IOTA</t>
  </si>
  <si>
    <t>Binance-ETH-KMD</t>
  </si>
  <si>
    <t>Binance-ETH-KNC</t>
  </si>
  <si>
    <t>Binance-ETH-LEND</t>
  </si>
  <si>
    <t>Binance-ETH-LINK</t>
  </si>
  <si>
    <t>Binance-ETH-LRC</t>
  </si>
  <si>
    <t>Binance-ETH-LSK</t>
  </si>
  <si>
    <t>Binance-ETH-LTC</t>
  </si>
  <si>
    <t>Binance-ETH-LUN</t>
  </si>
  <si>
    <t>Binance-ETH-MANA</t>
  </si>
  <si>
    <t>Binance-ETH-MCO</t>
  </si>
  <si>
    <t>Binance-ETH-MDA</t>
  </si>
  <si>
    <t>Binance-ETH-MOD</t>
  </si>
  <si>
    <t>Binance-ETH-MTH</t>
  </si>
  <si>
    <t>Binance-ETH-MTL</t>
  </si>
  <si>
    <t>Binance-ETH-NANO</t>
  </si>
  <si>
    <t>Binance-ETH-NAV</t>
  </si>
  <si>
    <t>Binance-ETH-NEBL</t>
  </si>
  <si>
    <t>Binance-ETH-NEO</t>
  </si>
  <si>
    <t>Binance-ETH-NULS</t>
  </si>
  <si>
    <t>Binance-ETH-OAX</t>
  </si>
  <si>
    <t>Binance-ETH-OMG</t>
  </si>
  <si>
    <t>Binance-ETH-OST</t>
  </si>
  <si>
    <t>Binance-ETH-PIVX</t>
  </si>
  <si>
    <t>Binance-ETH-POE</t>
  </si>
  <si>
    <t>Binance-ETH-POWR</t>
  </si>
  <si>
    <t>Binance-ETH-PPT</t>
  </si>
  <si>
    <t>Binance-ETH-QSP</t>
  </si>
  <si>
    <t>Binance-ETH-QTUM</t>
  </si>
  <si>
    <t>Binance-ETH-RCN</t>
  </si>
  <si>
    <t>Binance-ETH-RDN</t>
  </si>
  <si>
    <t>Binance-ETH-REQ</t>
  </si>
  <si>
    <t>Binance-ETH-RLC</t>
  </si>
  <si>
    <t>Binance-ETH-SALT</t>
  </si>
  <si>
    <t>Binance-ETH-SNGLS</t>
  </si>
  <si>
    <t>Binance-ETH-SNM</t>
  </si>
  <si>
    <t>Binance-ETH-SNT</t>
  </si>
  <si>
    <t>Binance-ETH-STEEM</t>
  </si>
  <si>
    <t>Binance-ETH-STORJ</t>
  </si>
  <si>
    <t>Binance-ETH-STRAT</t>
  </si>
  <si>
    <t>Binance-ETH-SUB</t>
  </si>
  <si>
    <t>Binance-ETH-TNB</t>
  </si>
  <si>
    <t>Binance-ETH-TNT</t>
  </si>
  <si>
    <t>Binance-ETH-TRIG</t>
  </si>
  <si>
    <t>Binance-ETH-TRX</t>
  </si>
  <si>
    <t>Binance-ETH-VEN</t>
  </si>
  <si>
    <t>Binance-ETH-VIA</t>
  </si>
  <si>
    <t>Binance-ETH-VIB</t>
  </si>
  <si>
    <t>Binance-ETH-VIBE</t>
  </si>
  <si>
    <t>Binance-ETH-WABI</t>
  </si>
  <si>
    <t>Binance-ETH-WAVES</t>
  </si>
  <si>
    <t>Binance-ETH-WINGS</t>
  </si>
  <si>
    <t>Binance-ETH-WTC</t>
  </si>
  <si>
    <t>Binance-ETH-XLM</t>
  </si>
  <si>
    <t>Binance-ETH-XMR</t>
  </si>
  <si>
    <t>Binance-ETH-XRP</t>
  </si>
  <si>
    <t>Binance-ETH-XVG</t>
  </si>
  <si>
    <t>Binance-ETH-XZC</t>
  </si>
  <si>
    <t>Binance-ETH-YOYO</t>
  </si>
  <si>
    <t>Binance-ETH-ZEC</t>
  </si>
  <si>
    <t>Binance-ETH-ZRX</t>
  </si>
  <si>
    <t>Binance-USDT-BNB</t>
  </si>
  <si>
    <t>Binance-USDT-BTC</t>
  </si>
  <si>
    <t>Binance-USDT-ETH</t>
  </si>
  <si>
    <t>Binance-USDT-LTC</t>
  </si>
  <si>
    <t>Binance-USDT-NEO</t>
  </si>
  <si>
    <t>STCG Taxes</t>
  </si>
  <si>
    <t>LTCG Taxes</t>
  </si>
  <si>
    <t>Tax Rate</t>
  </si>
  <si>
    <t>Binance-BNB-RPX</t>
  </si>
  <si>
    <t>RPX</t>
  </si>
  <si>
    <t>Red Pulse</t>
  </si>
  <si>
    <t>Binance-BTC-RPX</t>
  </si>
  <si>
    <t>Binance-ETH-RPX</t>
  </si>
  <si>
    <t>Bittrex-BTC-SRN</t>
  </si>
  <si>
    <t>SRN</t>
  </si>
  <si>
    <t>SIRIN LABS Token</t>
  </si>
  <si>
    <t>Bittrex-ETH-SRN</t>
  </si>
  <si>
    <t>Waltonchain</t>
  </si>
  <si>
    <t>Bittrex-BTC-WAX</t>
  </si>
  <si>
    <t>WAX</t>
  </si>
  <si>
    <t>Bittrex-ETH-WAX</t>
  </si>
  <si>
    <t>Bittrex-BTC-ZRX</t>
  </si>
  <si>
    <t>Bittrex-ETH-ZRX</t>
  </si>
  <si>
    <t>Bittrex-BTC-VEE</t>
  </si>
  <si>
    <t>VEE</t>
  </si>
  <si>
    <t>BLOCKv</t>
  </si>
  <si>
    <t>Bittrex-ETH-VEE</t>
  </si>
  <si>
    <t>Nano</t>
  </si>
  <si>
    <t>Requested Date</t>
  </si>
  <si>
    <t>Downloaded Date</t>
  </si>
  <si>
    <t>Bittrex-BTC-BCPT</t>
  </si>
  <si>
    <t>Bittrex-ETH-BCPT</t>
  </si>
  <si>
    <t>Account ID</t>
  </si>
  <si>
    <t>GDAX-BTC-BCH</t>
  </si>
  <si>
    <t>GDAX-BTC-ETH</t>
  </si>
  <si>
    <t>GDAX-BTC-LTC</t>
  </si>
  <si>
    <t>GDAX-USD-BCH</t>
  </si>
  <si>
    <t>GDAX-USD-BTC</t>
  </si>
  <si>
    <t>GDAX-USD-ETH</t>
  </si>
  <si>
    <t>GDAX-USD-LTC</t>
  </si>
  <si>
    <t>Binance-BNB-BCH</t>
  </si>
  <si>
    <t>Binance-BTC-BCH</t>
  </si>
  <si>
    <t>Binance-ETH-BCH</t>
  </si>
  <si>
    <t>Binance-USDT-BCH</t>
  </si>
  <si>
    <t>Bittrex-BTC-BCH</t>
  </si>
  <si>
    <t>Bittrex-ETH-BCH</t>
  </si>
  <si>
    <t>Bittrex-USDT-BCH</t>
  </si>
  <si>
    <t>Fee</t>
  </si>
  <si>
    <t>Withdrawal Account</t>
  </si>
  <si>
    <t>Deposit Account</t>
  </si>
  <si>
    <t>Withdrawal Date</t>
  </si>
  <si>
    <t>Deposit Date</t>
  </si>
  <si>
    <t>ONT</t>
  </si>
  <si>
    <t>NavCoin</t>
  </si>
  <si>
    <t>Binance-BNB-NCASH</t>
  </si>
  <si>
    <t>NCASH</t>
  </si>
  <si>
    <t>Nucleus Vision</t>
  </si>
  <si>
    <t>Binance-BNB-ONT</t>
  </si>
  <si>
    <t>Ontology</t>
  </si>
  <si>
    <t>Binance-BNB-POA</t>
  </si>
  <si>
    <t>POA</t>
  </si>
  <si>
    <t>POA Network</t>
  </si>
  <si>
    <t>Binance-BNB-ZIL</t>
  </si>
  <si>
    <t>ZIL</t>
  </si>
  <si>
    <t>Zilliqa</t>
  </si>
  <si>
    <t>Blox</t>
  </si>
  <si>
    <t>GXChain</t>
  </si>
  <si>
    <t>Binance-BTC-NCASH</t>
  </si>
  <si>
    <t>Binance-BTC-ONT</t>
  </si>
  <si>
    <t>Binance-BTC-POA</t>
  </si>
  <si>
    <t>Binance-BTC-ZIL</t>
  </si>
  <si>
    <t>Binance-ETH-NCASH</t>
  </si>
  <si>
    <t>Binance-ETH-ONT</t>
  </si>
  <si>
    <t>Binance-ETH-POA</t>
  </si>
  <si>
    <t>Binance-ETH-ZIL</t>
  </si>
  <si>
    <t>Bittrex-BTC-LRC</t>
  </si>
  <si>
    <t>Bittrex-BTC-TRX</t>
  </si>
  <si>
    <t>Bittrex-BTC-TUSD</t>
  </si>
  <si>
    <t>TUSD</t>
  </si>
  <si>
    <t>True USD</t>
  </si>
  <si>
    <t>Bittrex-ETH-LRC</t>
  </si>
  <si>
    <t>Bittrex-ETH-TRX</t>
  </si>
  <si>
    <t>Binance-BNB-STORM</t>
  </si>
  <si>
    <t>STORM</t>
  </si>
  <si>
    <t>Storm</t>
  </si>
  <si>
    <t>Binance-BTC-STORM</t>
  </si>
  <si>
    <t>Binance-ETH-STORM</t>
  </si>
  <si>
    <t>Bittrex-BTC-RVR</t>
  </si>
  <si>
    <t>RVR</t>
  </si>
  <si>
    <t>RevolutionVR</t>
  </si>
  <si>
    <t>Binance-BNB-QTUM</t>
  </si>
  <si>
    <t>Binance-USDT-QTUM</t>
  </si>
  <si>
    <t>Bittrex-ETH-TUSD</t>
  </si>
  <si>
    <t>Binance-BNB-XEM</t>
  </si>
  <si>
    <t>Binance-BTC-XEM</t>
  </si>
  <si>
    <t>Binance-ETH-XEM</t>
  </si>
  <si>
    <t>Bittrex-BTC-UP</t>
  </si>
  <si>
    <t>UP</t>
  </si>
  <si>
    <t>UpToken</t>
  </si>
  <si>
    <t>Bittrex-ETH-UP</t>
  </si>
  <si>
    <t>Binance-BNB-WAN</t>
  </si>
  <si>
    <t>WAN</t>
  </si>
  <si>
    <t>Binance-BTC-WAN</t>
  </si>
  <si>
    <t>Binance-ETH-WAN</t>
  </si>
  <si>
    <t>Wanchain</t>
  </si>
  <si>
    <t>Binance-BTC-WPR</t>
  </si>
  <si>
    <t>WPR</t>
  </si>
  <si>
    <t>WePower</t>
  </si>
  <si>
    <t>Binance-ETH-WPR</t>
  </si>
  <si>
    <t>Bittrex-BTC-DMT</t>
  </si>
  <si>
    <t>DMT</t>
  </si>
  <si>
    <t>DMarket</t>
  </si>
  <si>
    <t>Bittrex-ETH-DMT</t>
  </si>
  <si>
    <t>Binance-BTC-QLC</t>
  </si>
  <si>
    <t>QLC</t>
  </si>
  <si>
    <t>QLINK</t>
  </si>
  <si>
    <t>Binance-BTC-SYS</t>
  </si>
  <si>
    <t>Binance-ETH-QLC</t>
  </si>
  <si>
    <t>Binance-BNB-SYS</t>
  </si>
  <si>
    <t>Binance-ETH-SYS</t>
  </si>
  <si>
    <t>Bittrex-USDT-TUSD</t>
  </si>
  <si>
    <t>The update button on the Dashboard sheet will refresh all API calls and queries, whereas the Update button on the other sheets updates that sheet only.  As of now, Bittrex limits trade history to the last 30 days.  You will need to export all trades from the website and manually paste them to the Import sheet.  From there, they will be processed and loaded to the Trades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</si>
</sst>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44" formatCode="_(&quot;$&quot;* #,##0.00_);_(&quot;$&quot;* \(#,##0.00\);_(&quot;$&quot;* &quot;-&quot;??_);_(@_)"/>
    <numFmt numFmtId="43" formatCode="_(* #,##0.00_);_(* \(#,##0.00\);_(* &quot;-&quot;??_);_(@_)"/>
    <numFmt numFmtId="164" formatCode="mm/dd/yyyy;@"/>
    <numFmt numFmtId="165" formatCode="0.00000000"/>
    <numFmt numFmtId="166" formatCode="mm/dd/yyyy"/>
    <numFmt numFmtId="167" formatCode="_(* #,##0_);_(* \(#,##0\);_(* &quot;-&quot;??_);_(@_)"/>
    <numFmt numFmtId="168" formatCode="mm/dd/yyyy\ hh:mm\ AM/PM"/>
    <numFmt numFmtId="169" formatCode="#,##0.00000000"/>
    <numFmt numFmtId="170" formatCode="_(* #,##0.00000000_);_(* \(#,##0.00000000\);_(* &quot;-&quot;??_);_(@_)"/>
    <numFmt numFmtId="171" formatCode="[$-F800]dddd\,\ mmmm\ dd\,\ yyyy"/>
    <numFmt numFmtId="172" formatCode="_(* #,##0.000000000_);_(* \(#,##0.000000000\);_(* &quot;-&quot;??_);_(@_)"/>
    <numFmt numFmtId="173" formatCode="0.0%"/>
  </numFmts>
  <fonts count="14" x14ac:knownFonts="1">
    <font>
      <sz val="10"/>
      <name val="Arial"/>
      <family val="2"/>
    </font>
    <font>
      <sz val="10"/>
      <name val="Arial"/>
      <family val="2"/>
    </font>
    <font>
      <b/>
      <sz val="10"/>
      <name val="Arial"/>
      <family val="2"/>
    </font>
    <font>
      <sz val="12"/>
      <color rgb="FF000000"/>
      <name val="Arial"/>
      <family val="2"/>
    </font>
    <font>
      <u/>
      <sz val="10"/>
      <color theme="10"/>
      <name val="Arial"/>
      <family val="2"/>
    </font>
    <font>
      <sz val="14"/>
      <name val="Arial"/>
      <family val="2"/>
    </font>
    <font>
      <u/>
      <sz val="14"/>
      <color theme="10"/>
      <name val="Arial"/>
      <family val="2"/>
    </font>
    <font>
      <b/>
      <sz val="14"/>
      <name val="Arial"/>
      <family val="2"/>
    </font>
    <font>
      <sz val="10"/>
      <name val="Arial"/>
      <family val="2"/>
    </font>
    <font>
      <b/>
      <sz val="10"/>
      <color indexed="8"/>
      <name val="Arial"/>
      <family val="2"/>
    </font>
    <font>
      <b/>
      <sz val="10"/>
      <name val="Arial"/>
      <family val="2"/>
    </font>
    <font>
      <sz val="10"/>
      <color theme="0"/>
      <name val="Arial"/>
      <family val="2"/>
    </font>
    <font>
      <sz val="10"/>
      <color rgb="FF333333"/>
      <name val="Arial"/>
      <family val="2"/>
    </font>
    <font>
      <sz val="16"/>
      <color rgb="FF000000"/>
      <name val="Arial"/>
      <family val="2"/>
    </font>
  </fonts>
  <fills count="3">
    <fill>
      <patternFill patternType="none"/>
    </fill>
    <fill>
      <patternFill patternType="gray125"/>
    </fill>
    <fill>
      <patternFill patternType="solid">
        <fgColor rgb="FFFFFF00"/>
        <bgColor indexed="64"/>
      </patternFill>
    </fill>
  </fills>
  <borders count="1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right style="thin">
        <color auto="1"/>
      </right>
      <top/>
      <bottom/>
      <diagonal/>
    </border>
    <border>
      <left style="thin">
        <color auto="1"/>
      </left>
      <right/>
      <top/>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right style="medium">
        <color auto="1"/>
      </right>
      <top/>
      <bottom/>
      <diagonal/>
    </border>
    <border>
      <left style="medium">
        <color auto="1"/>
      </left>
      <right/>
      <top/>
      <bottom/>
      <diagonal/>
    </border>
    <border>
      <left style="thin">
        <color auto="1"/>
      </left>
      <right style="thin">
        <color auto="1"/>
      </right>
      <top/>
      <bottom/>
      <diagonal/>
    </border>
  </borders>
  <cellStyleXfs count="5">
    <xf numFmtId="0" fontId="0" fillId="0" borderId="0">
      <alignment vertical="center"/>
    </xf>
    <xf numFmtId="9" fontId="1" fillId="0" borderId="0" applyFont="0" applyFill="0" applyBorder="0" applyAlignment="0" applyProtection="0">
      <alignment vertical="center"/>
    </xf>
    <xf numFmtId="0" fontId="4" fillId="0" borderId="0" applyNumberFormat="0" applyFill="0" applyBorder="0" applyAlignment="0" applyProtection="0">
      <alignment vertical="center"/>
    </xf>
    <xf numFmtId="44" fontId="1" fillId="0" borderId="0" applyFont="0" applyFill="0" applyBorder="0" applyAlignment="0" applyProtection="0"/>
    <xf numFmtId="43" fontId="1" fillId="0" borderId="0" applyFont="0" applyFill="0" applyBorder="0" applyAlignment="0" applyProtection="0"/>
  </cellStyleXfs>
  <cellXfs count="166">
    <xf numFmtId="0" fontId="0" fillId="0" borderId="0" xfId="0">
      <alignment vertical="center"/>
    </xf>
    <xf numFmtId="0" fontId="0" fillId="0" borderId="0" xfId="0" applyNumberFormat="1">
      <alignment vertical="center"/>
    </xf>
    <xf numFmtId="0" fontId="2" fillId="0" borderId="0" xfId="0" applyFont="1" applyAlignment="1">
      <alignment horizontal="center" vertical="center"/>
    </xf>
    <xf numFmtId="165" fontId="0" fillId="0" borderId="0" xfId="0" applyNumberFormat="1">
      <alignment vertical="center"/>
    </xf>
    <xf numFmtId="49" fontId="0" fillId="0" borderId="0" xfId="0" applyNumberFormat="1">
      <alignment vertical="center"/>
    </xf>
    <xf numFmtId="49" fontId="2" fillId="0" borderId="1" xfId="0" applyNumberFormat="1" applyFont="1" applyBorder="1" applyAlignment="1">
      <alignment horizontal="center" vertical="center"/>
    </xf>
    <xf numFmtId="165" fontId="2" fillId="0" borderId="1" xfId="0" applyNumberFormat="1" applyFont="1" applyBorder="1" applyAlignment="1">
      <alignment horizontal="center" vertical="center"/>
    </xf>
    <xf numFmtId="0" fontId="2" fillId="0" borderId="1" xfId="0" applyFont="1" applyBorder="1">
      <alignment vertical="center"/>
    </xf>
    <xf numFmtId="0" fontId="2" fillId="0" borderId="1" xfId="0" applyNumberFormat="1" applyFont="1" applyBorder="1">
      <alignment vertical="center"/>
    </xf>
    <xf numFmtId="0" fontId="2" fillId="0" borderId="1" xfId="0" applyFont="1" applyBorder="1" applyAlignment="1">
      <alignment horizontal="center" vertical="center"/>
    </xf>
    <xf numFmtId="0" fontId="2" fillId="0" borderId="0" xfId="0" applyFont="1">
      <alignment vertical="center"/>
    </xf>
    <xf numFmtId="0" fontId="2" fillId="0" borderId="0" xfId="0" applyNumberFormat="1" applyFont="1">
      <alignment vertical="center"/>
    </xf>
    <xf numFmtId="49" fontId="2" fillId="0" borderId="0" xfId="0" applyNumberFormat="1" applyFont="1">
      <alignment vertical="center"/>
    </xf>
    <xf numFmtId="49" fontId="2" fillId="0" borderId="0" xfId="0" applyNumberFormat="1" applyFont="1" applyAlignment="1">
      <alignment horizontal="center" vertical="center"/>
    </xf>
    <xf numFmtId="165" fontId="2" fillId="0" borderId="0" xfId="0" applyNumberFormat="1" applyFont="1">
      <alignment vertical="center"/>
    </xf>
    <xf numFmtId="0" fontId="0" fillId="0" borderId="1" xfId="0" applyBorder="1">
      <alignment vertical="center"/>
    </xf>
    <xf numFmtId="0" fontId="5" fillId="0" borderId="1" xfId="0" applyFont="1" applyBorder="1">
      <alignment vertical="center"/>
    </xf>
    <xf numFmtId="0" fontId="5" fillId="0" borderId="1" xfId="0" applyFont="1" applyBorder="1" applyAlignment="1">
      <alignment horizontal="center" vertical="center"/>
    </xf>
    <xf numFmtId="0" fontId="5" fillId="0" borderId="0" xfId="0" applyFont="1">
      <alignment vertical="center"/>
    </xf>
    <xf numFmtId="0" fontId="6" fillId="0" borderId="1" xfId="2" applyFont="1" applyBorder="1" applyAlignment="1">
      <alignment horizontal="center" vertical="center"/>
    </xf>
    <xf numFmtId="164" fontId="8" fillId="0" borderId="0" xfId="0" applyNumberFormat="1" applyFont="1" applyAlignment="1">
      <alignment horizontal="center" vertical="center"/>
    </xf>
    <xf numFmtId="0" fontId="8" fillId="0" borderId="0" xfId="0" applyFont="1">
      <alignment vertical="center"/>
    </xf>
    <xf numFmtId="0" fontId="8" fillId="0" borderId="0" xfId="0" applyFont="1" applyAlignment="1">
      <alignment vertical="center" wrapText="1"/>
    </xf>
    <xf numFmtId="0" fontId="8" fillId="0" borderId="0" xfId="0" applyFont="1" applyBorder="1">
      <alignment vertical="center"/>
    </xf>
    <xf numFmtId="43" fontId="0" fillId="0" borderId="0" xfId="4" applyFont="1" applyAlignment="1">
      <alignment vertical="center"/>
    </xf>
    <xf numFmtId="167" fontId="0" fillId="0" borderId="0" xfId="4" applyNumberFormat="1" applyFont="1" applyAlignment="1">
      <alignment vertical="center"/>
    </xf>
    <xf numFmtId="168" fontId="2" fillId="0" borderId="0" xfId="0" applyNumberFormat="1" applyFont="1" applyAlignment="1">
      <alignment horizontal="right" vertical="center"/>
    </xf>
    <xf numFmtId="168" fontId="2" fillId="0" borderId="0" xfId="0" applyNumberFormat="1" applyFont="1" applyAlignment="1">
      <alignment horizontal="center" vertical="center"/>
    </xf>
    <xf numFmtId="165" fontId="2" fillId="0" borderId="1" xfId="3" applyNumberFormat="1" applyFont="1" applyBorder="1" applyAlignment="1">
      <alignment vertical="center"/>
    </xf>
    <xf numFmtId="0" fontId="0" fillId="0" borderId="0" xfId="0" applyAlignment="1">
      <alignment horizontal="center" vertical="center" wrapText="1"/>
    </xf>
    <xf numFmtId="44" fontId="2" fillId="0" borderId="0" xfId="3" applyFont="1" applyAlignment="1">
      <alignment vertical="center"/>
    </xf>
    <xf numFmtId="0" fontId="2" fillId="0" borderId="1" xfId="0" applyNumberFormat="1" applyFont="1" applyBorder="1" applyAlignment="1">
      <alignment horizontal="center" vertical="center"/>
    </xf>
    <xf numFmtId="43" fontId="0" fillId="0" borderId="0" xfId="4" applyNumberFormat="1" applyFont="1" applyAlignment="1">
      <alignment vertical="center"/>
    </xf>
    <xf numFmtId="166" fontId="0" fillId="2" borderId="0" xfId="0" applyNumberFormat="1" applyFill="1" applyAlignment="1">
      <alignment horizontal="center" vertical="center" wrapText="1"/>
    </xf>
    <xf numFmtId="0" fontId="2" fillId="0" borderId="1" xfId="0" applyFont="1" applyFill="1" applyBorder="1" applyAlignment="1">
      <alignment horizontal="center" vertical="center"/>
    </xf>
    <xf numFmtId="49" fontId="2" fillId="0" borderId="1" xfId="0" applyNumberFormat="1" applyFont="1" applyBorder="1" applyAlignment="1">
      <alignment horizontal="center" vertical="center" wrapText="1"/>
    </xf>
    <xf numFmtId="168" fontId="2" fillId="0" borderId="1" xfId="0" applyNumberFormat="1" applyFont="1" applyBorder="1" applyAlignment="1">
      <alignment horizontal="center" vertical="center" wrapText="1"/>
    </xf>
    <xf numFmtId="0" fontId="2" fillId="0" borderId="1" xfId="0" applyNumberFormat="1" applyFont="1" applyBorder="1" applyAlignment="1">
      <alignment horizontal="center" vertical="center" wrapText="1"/>
    </xf>
    <xf numFmtId="10" fontId="2" fillId="0" borderId="1" xfId="1" applyNumberFormat="1" applyFont="1" applyBorder="1" applyAlignment="1">
      <alignment horizontal="center" vertical="center" wrapText="1"/>
    </xf>
    <xf numFmtId="165" fontId="2" fillId="0" borderId="1" xfId="0" applyNumberFormat="1" applyFont="1" applyBorder="1" applyAlignment="1">
      <alignment horizontal="center" vertical="center" wrapText="1"/>
    </xf>
    <xf numFmtId="0" fontId="2" fillId="0" borderId="0" xfId="0" applyFont="1" applyAlignment="1">
      <alignment horizontal="center" vertical="center" wrapText="1"/>
    </xf>
    <xf numFmtId="0" fontId="0" fillId="0" borderId="8" xfId="0" applyBorder="1">
      <alignment vertical="center"/>
    </xf>
    <xf numFmtId="0" fontId="11" fillId="0" borderId="1" xfId="0" applyFont="1" applyBorder="1">
      <alignment vertical="center"/>
    </xf>
    <xf numFmtId="0" fontId="0" fillId="0" borderId="0" xfId="0" applyAlignment="1">
      <alignment horizontal="center" vertical="top" wrapText="1"/>
    </xf>
    <xf numFmtId="0" fontId="0" fillId="0" borderId="0" xfId="0" applyNumberFormat="1" applyAlignment="1">
      <alignment horizontal="center" vertical="top" wrapText="1"/>
    </xf>
    <xf numFmtId="166" fontId="0" fillId="0" borderId="0" xfId="0" applyNumberFormat="1" applyAlignment="1">
      <alignment horizontal="center" vertical="center"/>
    </xf>
    <xf numFmtId="165" fontId="0" fillId="0" borderId="0" xfId="0" applyNumberFormat="1" applyAlignment="1">
      <alignment horizontal="right" vertical="center"/>
    </xf>
    <xf numFmtId="10" fontId="8" fillId="0" borderId="0" xfId="1" applyNumberFormat="1" applyFont="1" applyAlignment="1">
      <alignment horizontal="right" vertical="center"/>
    </xf>
    <xf numFmtId="10" fontId="9" fillId="0" borderId="1" xfId="1" applyNumberFormat="1" applyFont="1" applyFill="1" applyBorder="1" applyAlignment="1">
      <alignment horizontal="center" vertical="center" wrapText="1"/>
    </xf>
    <xf numFmtId="0" fontId="9" fillId="0" borderId="1" xfId="0" applyNumberFormat="1"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49" fontId="8" fillId="0" borderId="0" xfId="0" applyNumberFormat="1" applyFont="1">
      <alignment vertical="center"/>
    </xf>
    <xf numFmtId="49" fontId="10" fillId="0" borderId="1" xfId="0" applyNumberFormat="1" applyFont="1" applyBorder="1" applyAlignment="1">
      <alignment horizontal="center" vertical="center"/>
    </xf>
    <xf numFmtId="49" fontId="2" fillId="0" borderId="1" xfId="0" applyNumberFormat="1" applyFont="1" applyBorder="1" applyAlignment="1">
      <alignment vertical="center"/>
    </xf>
    <xf numFmtId="49" fontId="10" fillId="0" borderId="1" xfId="0" applyNumberFormat="1" applyFont="1" applyBorder="1">
      <alignment vertical="center"/>
    </xf>
    <xf numFmtId="49" fontId="10" fillId="0" borderId="1" xfId="0" applyNumberFormat="1" applyFont="1" applyBorder="1" applyAlignment="1">
      <alignment vertical="center"/>
    </xf>
    <xf numFmtId="10" fontId="8" fillId="0" borderId="0" xfId="1" applyNumberFormat="1" applyFont="1">
      <alignment vertical="center"/>
    </xf>
    <xf numFmtId="166" fontId="9" fillId="0" borderId="1" xfId="0" applyNumberFormat="1" applyFont="1" applyFill="1" applyBorder="1" applyAlignment="1">
      <alignment horizontal="center" vertical="center" wrapText="1"/>
    </xf>
    <xf numFmtId="166" fontId="8" fillId="0" borderId="0" xfId="0" applyNumberFormat="1" applyFont="1" applyAlignment="1">
      <alignment horizontal="center" vertical="center"/>
    </xf>
    <xf numFmtId="4" fontId="9" fillId="0" borderId="1" xfId="4" applyNumberFormat="1" applyFont="1" applyFill="1" applyBorder="1" applyAlignment="1">
      <alignment horizontal="center" vertical="center" wrapText="1"/>
    </xf>
    <xf numFmtId="4" fontId="8" fillId="0" borderId="0" xfId="4" applyNumberFormat="1" applyFont="1" applyAlignment="1">
      <alignment vertical="center"/>
    </xf>
    <xf numFmtId="4" fontId="10" fillId="0" borderId="1" xfId="4" applyNumberFormat="1" applyFont="1" applyBorder="1" applyAlignment="1">
      <alignment vertical="center"/>
    </xf>
    <xf numFmtId="169" fontId="9" fillId="0" borderId="1" xfId="4" applyNumberFormat="1" applyFont="1" applyFill="1" applyBorder="1" applyAlignment="1">
      <alignment horizontal="center" vertical="center" wrapText="1"/>
    </xf>
    <xf numFmtId="169" fontId="8" fillId="0" borderId="0" xfId="4" applyNumberFormat="1" applyFont="1" applyAlignment="1">
      <alignment vertical="center"/>
    </xf>
    <xf numFmtId="169" fontId="2" fillId="0" borderId="1" xfId="4" applyNumberFormat="1" applyFont="1" applyBorder="1" applyAlignment="1">
      <alignment horizontal="center" vertical="center"/>
    </xf>
    <xf numFmtId="169" fontId="10" fillId="0" borderId="1" xfId="4" applyNumberFormat="1" applyFont="1" applyBorder="1" applyAlignment="1">
      <alignment vertical="center"/>
    </xf>
    <xf numFmtId="49" fontId="9" fillId="0" borderId="3" xfId="0" applyNumberFormat="1" applyFont="1" applyFill="1" applyBorder="1" applyAlignment="1"/>
    <xf numFmtId="169" fontId="9" fillId="0" borderId="3" xfId="4" applyNumberFormat="1" applyFont="1" applyFill="1" applyBorder="1" applyAlignment="1"/>
    <xf numFmtId="4" fontId="9" fillId="0" borderId="3" xfId="4" applyNumberFormat="1" applyFont="1" applyFill="1" applyBorder="1" applyAlignment="1"/>
    <xf numFmtId="10" fontId="9" fillId="0" borderId="3" xfId="1" applyNumberFormat="1" applyFont="1" applyFill="1" applyBorder="1" applyAlignment="1"/>
    <xf numFmtId="10" fontId="9" fillId="0" borderId="3" xfId="1" applyNumberFormat="1" applyFont="1" applyFill="1" applyBorder="1" applyAlignment="1">
      <alignment horizontal="right"/>
    </xf>
    <xf numFmtId="0" fontId="9" fillId="0" borderId="3" xfId="0" applyNumberFormat="1" applyFont="1" applyFill="1" applyBorder="1" applyAlignment="1"/>
    <xf numFmtId="0" fontId="0" fillId="0" borderId="0" xfId="0" applyNumberFormat="1" applyFont="1">
      <alignment vertical="center"/>
    </xf>
    <xf numFmtId="0" fontId="2" fillId="0" borderId="0" xfId="0" applyFont="1" applyBorder="1" applyAlignment="1">
      <alignment vertical="center" wrapText="1"/>
    </xf>
    <xf numFmtId="4" fontId="2" fillId="0" borderId="1" xfId="3" applyNumberFormat="1" applyFont="1" applyBorder="1" applyAlignment="1">
      <alignment vertical="center"/>
    </xf>
    <xf numFmtId="4" fontId="0" fillId="0" borderId="9" xfId="3" applyNumberFormat="1" applyFont="1" applyBorder="1" applyAlignment="1">
      <alignment vertical="center"/>
    </xf>
    <xf numFmtId="4" fontId="0" fillId="0" borderId="0" xfId="3" applyNumberFormat="1" applyFont="1" applyAlignment="1">
      <alignment vertical="center"/>
    </xf>
    <xf numFmtId="4" fontId="0" fillId="0" borderId="8" xfId="3" applyNumberFormat="1" applyFont="1" applyBorder="1" applyAlignment="1">
      <alignment vertical="center"/>
    </xf>
    <xf numFmtId="4" fontId="2" fillId="0" borderId="9" xfId="3" applyNumberFormat="1" applyFont="1" applyBorder="1" applyAlignment="1">
      <alignment vertical="center"/>
    </xf>
    <xf numFmtId="165" fontId="2" fillId="0" borderId="1" xfId="4" applyNumberFormat="1" applyFont="1" applyBorder="1" applyAlignment="1">
      <alignment vertical="center"/>
    </xf>
    <xf numFmtId="169" fontId="2" fillId="0" borderId="1" xfId="4" applyNumberFormat="1" applyFont="1" applyBorder="1" applyAlignment="1">
      <alignment vertical="center"/>
    </xf>
    <xf numFmtId="0" fontId="4" fillId="0" borderId="1" xfId="2" applyBorder="1">
      <alignment vertical="center"/>
    </xf>
    <xf numFmtId="0" fontId="0" fillId="0" borderId="7" xfId="0" applyBorder="1" applyAlignment="1">
      <alignment horizontal="center" vertical="center"/>
    </xf>
    <xf numFmtId="0" fontId="0" fillId="0" borderId="0" xfId="0" applyBorder="1">
      <alignment vertical="center"/>
    </xf>
    <xf numFmtId="4" fontId="2" fillId="0" borderId="1" xfId="3" applyNumberFormat="1" applyFont="1" applyFill="1" applyBorder="1" applyAlignment="1">
      <alignment horizontal="center" vertical="center"/>
    </xf>
    <xf numFmtId="1" fontId="2" fillId="0" borderId="1" xfId="3" applyNumberFormat="1" applyFont="1" applyBorder="1" applyAlignment="1">
      <alignment horizontal="center" vertical="center"/>
    </xf>
    <xf numFmtId="9" fontId="2" fillId="0" borderId="1" xfId="1" applyFont="1" applyBorder="1" applyAlignment="1">
      <alignment horizontal="center" vertical="center" wrapText="1"/>
    </xf>
    <xf numFmtId="170" fontId="2" fillId="0" borderId="1" xfId="4" applyNumberFormat="1" applyFont="1" applyBorder="1" applyAlignment="1">
      <alignment horizontal="center" vertical="center" wrapText="1"/>
    </xf>
    <xf numFmtId="171" fontId="5" fillId="0" borderId="1" xfId="0" applyNumberFormat="1" applyFont="1" applyBorder="1" applyAlignment="1">
      <alignment horizontal="center" vertical="center"/>
    </xf>
    <xf numFmtId="165" fontId="0" fillId="0" borderId="0" xfId="0" applyNumberFormat="1" applyAlignment="1">
      <alignment horizontal="center" vertical="center"/>
    </xf>
    <xf numFmtId="49" fontId="0" fillId="0" borderId="1" xfId="0" applyNumberFormat="1" applyBorder="1">
      <alignment vertical="center"/>
    </xf>
    <xf numFmtId="166" fontId="0" fillId="0" borderId="12" xfId="4" applyNumberFormat="1" applyFont="1" applyBorder="1" applyAlignment="1">
      <alignment horizontal="center" vertical="center"/>
    </xf>
    <xf numFmtId="166" fontId="12" fillId="0" borderId="11" xfId="4" applyNumberFormat="1" applyFont="1" applyBorder="1" applyAlignment="1">
      <alignment horizontal="center" vertical="center" wrapText="1"/>
    </xf>
    <xf numFmtId="166" fontId="0" fillId="0" borderId="13" xfId="4" applyNumberFormat="1" applyFont="1" applyBorder="1" applyAlignment="1">
      <alignment horizontal="center" vertical="center"/>
    </xf>
    <xf numFmtId="166" fontId="0" fillId="0" borderId="10" xfId="4" applyNumberFormat="1" applyFont="1" applyBorder="1" applyAlignment="1">
      <alignment horizontal="center" vertical="center" wrapText="1"/>
    </xf>
    <xf numFmtId="0" fontId="2" fillId="0" borderId="0" xfId="0" applyFont="1" applyBorder="1" applyAlignment="1">
      <alignment horizontal="center" vertical="center" wrapText="1"/>
    </xf>
    <xf numFmtId="0" fontId="0" fillId="0" borderId="0" xfId="0" applyFont="1" applyBorder="1">
      <alignment vertical="center"/>
    </xf>
    <xf numFmtId="49" fontId="2" fillId="0" borderId="8" xfId="0" applyNumberFormat="1" applyFont="1" applyBorder="1" applyAlignment="1">
      <alignment horizontal="center" vertical="center" wrapText="1"/>
    </xf>
    <xf numFmtId="0" fontId="2" fillId="0" borderId="14" xfId="0" applyNumberFormat="1" applyFont="1" applyBorder="1" applyAlignment="1">
      <alignment horizontal="center" vertical="center" wrapText="1"/>
    </xf>
    <xf numFmtId="168" fontId="2" fillId="0" borderId="14" xfId="0" applyNumberFormat="1" applyFont="1" applyBorder="1" applyAlignment="1">
      <alignment horizontal="center" vertical="center" wrapText="1"/>
    </xf>
    <xf numFmtId="49" fontId="0" fillId="0" borderId="8" xfId="0" applyNumberFormat="1" applyFont="1" applyBorder="1">
      <alignment vertical="center"/>
    </xf>
    <xf numFmtId="0" fontId="0" fillId="0" borderId="14" xfId="0" applyNumberFormat="1" applyFont="1" applyBorder="1">
      <alignment vertical="center"/>
    </xf>
    <xf numFmtId="170" fontId="2" fillId="0" borderId="14" xfId="4" applyNumberFormat="1" applyFont="1" applyBorder="1" applyAlignment="1">
      <alignment horizontal="center" vertical="center" wrapText="1"/>
    </xf>
    <xf numFmtId="170" fontId="0" fillId="0" borderId="14" xfId="4" applyNumberFormat="1" applyFont="1" applyBorder="1" applyAlignment="1">
      <alignment vertical="center"/>
    </xf>
    <xf numFmtId="170" fontId="0" fillId="0" borderId="14" xfId="4" applyNumberFormat="1" applyFont="1" applyBorder="1" applyAlignment="1">
      <alignment horizontal="right" vertical="center"/>
    </xf>
    <xf numFmtId="170" fontId="0" fillId="0" borderId="14" xfId="4" applyNumberFormat="1" applyFont="1" applyBorder="1" applyAlignment="1">
      <alignment horizontal="center" vertical="center"/>
    </xf>
    <xf numFmtId="168" fontId="0" fillId="0" borderId="14" xfId="0" applyNumberFormat="1" applyFont="1" applyBorder="1" applyAlignment="1">
      <alignment horizontal="center" vertical="center"/>
    </xf>
    <xf numFmtId="4" fontId="1" fillId="0" borderId="0" xfId="3" applyNumberFormat="1" applyFont="1" applyBorder="1" applyAlignment="1">
      <alignment horizontal="center" vertical="center"/>
    </xf>
    <xf numFmtId="0" fontId="0" fillId="0" borderId="0" xfId="0" applyFont="1" applyBorder="1" applyAlignment="1">
      <alignment horizontal="center" vertical="center"/>
    </xf>
    <xf numFmtId="44" fontId="1" fillId="0" borderId="0" xfId="3" applyFont="1" applyBorder="1" applyAlignment="1">
      <alignment vertical="center"/>
    </xf>
    <xf numFmtId="4" fontId="1" fillId="0" borderId="0" xfId="3" applyNumberFormat="1" applyFont="1" applyBorder="1" applyAlignment="1">
      <alignment vertical="center"/>
    </xf>
    <xf numFmtId="166" fontId="0" fillId="0" borderId="1" xfId="0" applyNumberFormat="1" applyFont="1" applyBorder="1" applyAlignment="1">
      <alignment horizontal="center" vertical="center"/>
    </xf>
    <xf numFmtId="44" fontId="1" fillId="0" borderId="1" xfId="3" applyFont="1" applyBorder="1" applyAlignment="1">
      <alignment horizontal="center" vertical="center"/>
    </xf>
    <xf numFmtId="44" fontId="1" fillId="0" borderId="1" xfId="3" applyFont="1" applyBorder="1" applyAlignment="1">
      <alignment vertical="center"/>
    </xf>
    <xf numFmtId="167" fontId="12" fillId="0" borderId="1" xfId="4" applyNumberFormat="1" applyFont="1" applyBorder="1" applyAlignment="1">
      <alignment horizontal="right" vertical="center" wrapText="1" indent="1"/>
    </xf>
    <xf numFmtId="167" fontId="0" fillId="0" borderId="0" xfId="4" applyNumberFormat="1" applyFont="1" applyAlignment="1">
      <alignment horizontal="right" vertical="center"/>
    </xf>
    <xf numFmtId="172" fontId="12" fillId="0" borderId="1" xfId="4" applyNumberFormat="1" applyFont="1" applyBorder="1" applyAlignment="1">
      <alignment horizontal="right" vertical="center" wrapText="1" indent="1"/>
    </xf>
    <xf numFmtId="172" fontId="0" fillId="0" borderId="0" xfId="4" applyNumberFormat="1" applyFont="1" applyAlignment="1">
      <alignment horizontal="right" vertical="center"/>
    </xf>
    <xf numFmtId="44" fontId="0" fillId="0" borderId="1" xfId="3" applyFont="1" applyBorder="1" applyAlignment="1">
      <alignment vertical="center"/>
    </xf>
    <xf numFmtId="44" fontId="0" fillId="0" borderId="0" xfId="3" applyFont="1" applyBorder="1" applyAlignment="1">
      <alignment vertical="center"/>
    </xf>
    <xf numFmtId="173" fontId="0" fillId="0" borderId="1" xfId="1" applyNumberFormat="1" applyFont="1" applyBorder="1" applyAlignment="1">
      <alignment horizontal="center" vertical="center"/>
    </xf>
    <xf numFmtId="44" fontId="0" fillId="0" borderId="1" xfId="3" applyFont="1" applyBorder="1" applyAlignment="1">
      <alignment horizontal="center" vertical="center"/>
    </xf>
    <xf numFmtId="173" fontId="1" fillId="0" borderId="1" xfId="1" applyNumberFormat="1" applyFont="1" applyBorder="1" applyAlignment="1">
      <alignment horizontal="center" vertical="center"/>
    </xf>
    <xf numFmtId="173" fontId="1" fillId="0" borderId="0" xfId="1" applyNumberFormat="1" applyFont="1" applyBorder="1" applyAlignment="1">
      <alignment horizontal="center" vertical="center"/>
    </xf>
    <xf numFmtId="166" fontId="0" fillId="0" borderId="0" xfId="0" applyNumberFormat="1" applyFont="1" applyBorder="1" applyAlignment="1">
      <alignment horizontal="center" vertical="center"/>
    </xf>
    <xf numFmtId="166" fontId="1" fillId="0" borderId="1" xfId="3" applyNumberFormat="1" applyFont="1" applyBorder="1" applyAlignment="1">
      <alignment horizontal="center" vertical="center"/>
    </xf>
    <xf numFmtId="49" fontId="2" fillId="0" borderId="0" xfId="1" applyNumberFormat="1" applyFont="1">
      <alignment vertical="center"/>
    </xf>
    <xf numFmtId="170" fontId="2" fillId="0" borderId="0" xfId="4" applyNumberFormat="1" applyFont="1" applyAlignment="1">
      <alignment horizontal="center" vertical="center"/>
    </xf>
    <xf numFmtId="170" fontId="2" fillId="0" borderId="0" xfId="4" applyNumberFormat="1" applyFont="1" applyAlignment="1">
      <alignment vertical="center"/>
    </xf>
    <xf numFmtId="168" fontId="2" fillId="0" borderId="0" xfId="0" applyNumberFormat="1" applyFont="1">
      <alignment vertical="center"/>
    </xf>
    <xf numFmtId="10" fontId="2" fillId="0" borderId="0" xfId="1" applyNumberFormat="1" applyFont="1">
      <alignment vertical="center"/>
    </xf>
    <xf numFmtId="0" fontId="2" fillId="0" borderId="1" xfId="0" applyFont="1" applyBorder="1" applyAlignment="1">
      <alignment horizontal="center" vertical="center"/>
    </xf>
    <xf numFmtId="166" fontId="2" fillId="0" borderId="10" xfId="0" applyNumberFormat="1" applyFont="1" applyBorder="1" applyAlignment="1">
      <alignment horizontal="center" vertical="center" wrapText="1"/>
    </xf>
    <xf numFmtId="166" fontId="2" fillId="0" borderId="11" xfId="0" applyNumberFormat="1" applyFont="1" applyBorder="1" applyAlignment="1">
      <alignment horizontal="center" vertical="center" wrapText="1"/>
    </xf>
    <xf numFmtId="172" fontId="2" fillId="0" borderId="1" xfId="4" applyNumberFormat="1" applyFont="1" applyBorder="1" applyAlignment="1">
      <alignment horizontal="center" vertical="center" wrapText="1"/>
    </xf>
    <xf numFmtId="167" fontId="2" fillId="0" borderId="1" xfId="4" applyNumberFormat="1" applyFont="1" applyBorder="1" applyAlignment="1">
      <alignment horizontal="center" vertical="center" wrapText="1"/>
    </xf>
    <xf numFmtId="49" fontId="0" fillId="0" borderId="0" xfId="0" applyNumberFormat="1" applyAlignment="1">
      <alignment horizontal="left" vertical="center"/>
    </xf>
    <xf numFmtId="10" fontId="1" fillId="0" borderId="0" xfId="1" applyNumberFormat="1" applyFont="1" applyAlignment="1">
      <alignment horizontal="right" vertical="center"/>
    </xf>
    <xf numFmtId="169" fontId="1" fillId="0" borderId="0" xfId="4" applyNumberFormat="1" applyFont="1" applyAlignment="1">
      <alignment vertical="center"/>
    </xf>
    <xf numFmtId="170" fontId="0" fillId="0" borderId="0" xfId="4" applyNumberFormat="1" applyFont="1" applyAlignment="1">
      <alignment horizontal="center" vertical="top" wrapText="1"/>
    </xf>
    <xf numFmtId="170" fontId="0" fillId="0" borderId="0" xfId="4" applyNumberFormat="1" applyFont="1" applyAlignment="1">
      <alignment horizontal="right" vertical="center"/>
    </xf>
    <xf numFmtId="170" fontId="0" fillId="0" borderId="0" xfId="4" applyNumberFormat="1" applyFont="1" applyAlignment="1">
      <alignment vertical="center"/>
    </xf>
    <xf numFmtId="4" fontId="2" fillId="0" borderId="1" xfId="3" applyNumberFormat="1" applyFont="1" applyBorder="1" applyAlignment="1">
      <alignment horizontal="center" vertical="center"/>
    </xf>
    <xf numFmtId="0" fontId="2" fillId="0" borderId="1" xfId="0" applyFont="1" applyBorder="1" applyAlignment="1">
      <alignment horizontal="center" vertical="center"/>
    </xf>
    <xf numFmtId="4" fontId="2" fillId="0" borderId="1" xfId="3" applyNumberFormat="1" applyFont="1" applyBorder="1" applyAlignment="1">
      <alignment horizontal="center" vertical="center"/>
    </xf>
    <xf numFmtId="0" fontId="2" fillId="0" borderId="4" xfId="0" applyFont="1" applyBorder="1" applyAlignment="1">
      <alignment horizontal="center" vertical="center"/>
    </xf>
    <xf numFmtId="0" fontId="2" fillId="0" borderId="6" xfId="0" applyFont="1" applyBorder="1" applyAlignment="1">
      <alignment horizontal="center" vertical="center"/>
    </xf>
    <xf numFmtId="168" fontId="2" fillId="0" borderId="1" xfId="0" applyNumberFormat="1" applyFont="1" applyBorder="1" applyAlignment="1">
      <alignment horizontal="center" vertical="center"/>
    </xf>
    <xf numFmtId="0" fontId="2" fillId="0" borderId="1" xfId="0" applyFont="1" applyBorder="1" applyAlignment="1">
      <alignment horizontal="center" vertical="center"/>
    </xf>
    <xf numFmtId="44" fontId="2" fillId="0" borderId="1" xfId="3" applyFont="1" applyBorder="1" applyAlignment="1">
      <alignment horizontal="center" vertical="center"/>
    </xf>
    <xf numFmtId="0" fontId="7" fillId="0" borderId="1" xfId="0" applyNumberFormat="1" applyFont="1" applyBorder="1" applyAlignment="1">
      <alignment horizontal="center" vertical="center"/>
    </xf>
    <xf numFmtId="0" fontId="7" fillId="0" borderId="4" xfId="0" applyFont="1" applyBorder="1" applyAlignment="1">
      <alignment horizontal="center" vertical="center"/>
    </xf>
    <xf numFmtId="0" fontId="7" fillId="0" borderId="5" xfId="0" applyFont="1" applyBorder="1" applyAlignment="1">
      <alignment horizontal="center" vertical="center"/>
    </xf>
    <xf numFmtId="0" fontId="7" fillId="0" borderId="6" xfId="0" applyFont="1" applyBorder="1" applyAlignment="1">
      <alignment horizontal="center" vertical="center"/>
    </xf>
    <xf numFmtId="49" fontId="2" fillId="0" borderId="7" xfId="0" applyNumberFormat="1" applyFont="1" applyBorder="1" applyAlignment="1">
      <alignment horizontal="center" vertical="center"/>
    </xf>
    <xf numFmtId="0" fontId="2" fillId="0" borderId="7" xfId="0" applyNumberFormat="1" applyFont="1" applyBorder="1" applyAlignment="1">
      <alignment horizontal="center" vertical="center"/>
    </xf>
    <xf numFmtId="165" fontId="2" fillId="0" borderId="7" xfId="0" applyNumberFormat="1" applyFont="1" applyBorder="1" applyAlignment="1">
      <alignment horizontal="center" vertical="center"/>
    </xf>
    <xf numFmtId="0" fontId="2" fillId="0" borderId="7" xfId="0" applyFont="1" applyBorder="1" applyAlignment="1">
      <alignment horizontal="center" vertical="center"/>
    </xf>
    <xf numFmtId="0" fontId="10" fillId="0" borderId="4" xfId="0" applyFont="1" applyBorder="1" applyAlignment="1">
      <alignment horizontal="center" vertical="center"/>
    </xf>
    <xf numFmtId="0" fontId="10" fillId="0" borderId="5" xfId="0" applyFont="1" applyBorder="1" applyAlignment="1">
      <alignment horizontal="center" vertical="center"/>
    </xf>
    <xf numFmtId="0" fontId="10" fillId="0" borderId="6" xfId="0" applyFont="1" applyBorder="1" applyAlignment="1">
      <alignment horizontal="center" vertical="center"/>
    </xf>
    <xf numFmtId="4" fontId="10" fillId="0" borderId="2" xfId="4" applyNumberFormat="1" applyFont="1" applyBorder="1" applyAlignment="1">
      <alignment horizontal="center" vertical="center"/>
    </xf>
    <xf numFmtId="4" fontId="10" fillId="0" borderId="3" xfId="4" applyNumberFormat="1" applyFont="1" applyBorder="1" applyAlignment="1">
      <alignment horizontal="center" vertical="center"/>
    </xf>
    <xf numFmtId="165" fontId="2" fillId="0" borderId="4" xfId="0" applyNumberFormat="1" applyFont="1" applyBorder="1" applyAlignment="1">
      <alignment horizontal="center" vertical="center"/>
    </xf>
    <xf numFmtId="165" fontId="2" fillId="0" borderId="6" xfId="0" applyNumberFormat="1" applyFont="1" applyBorder="1" applyAlignment="1">
      <alignment horizontal="center" vertical="center"/>
    </xf>
    <xf numFmtId="0" fontId="5" fillId="0" borderId="1" xfId="0" applyFont="1" applyBorder="1" applyAlignment="1">
      <alignment horizontal="left" vertical="center" wrapText="1"/>
    </xf>
  </cellXfs>
  <cellStyles count="5">
    <cellStyle name="Comma" xfId="4" builtinId="3"/>
    <cellStyle name="Currency" xfId="3" builtinId="4"/>
    <cellStyle name="Hyperlink" xfId="2" builtinId="8"/>
    <cellStyle name="Normal" xfId="0" builtinId="0"/>
    <cellStyle name="Percent" xfId="1" builtinId="5"/>
  </cellStyles>
  <dxfs count="27">
    <dxf>
      <fill>
        <patternFill>
          <bgColor rgb="FFA0FFFF"/>
        </patternFill>
      </fill>
    </dxf>
    <dxf>
      <fill>
        <patternFill>
          <bgColor rgb="FFA0FFFF"/>
        </patternFill>
      </fill>
    </dxf>
    <dxf>
      <fill>
        <patternFill>
          <bgColor rgb="FFA0FFFF"/>
        </patternFill>
      </fill>
    </dxf>
    <dxf>
      <numFmt numFmtId="165" formatCode="0.00000000"/>
    </dxf>
    <dxf>
      <numFmt numFmtId="165" formatCode="0.00000000"/>
    </dxf>
    <dxf>
      <numFmt numFmtId="165" formatCode="0.00000000"/>
    </dxf>
    <dxf>
      <numFmt numFmtId="165" formatCode="0.00000000"/>
    </dxf>
    <dxf>
      <numFmt numFmtId="166" formatCode="mm/dd/yyyy"/>
      <alignment horizontal="center" vertical="center" textRotation="0" wrapText="0" indent="0" justifyLastLine="0" shrinkToFit="0" readingOrder="0"/>
    </dxf>
    <dxf>
      <alignment horizontal="center" vertical="center" textRotation="0" wrapText="0" indent="0" justifyLastLine="0" shrinkToFit="0" readingOrder="0"/>
    </dxf>
    <dxf>
      <numFmt numFmtId="170" formatCode="_(* #,##0.00000000_);_(* \(#,##0.00000000\);_(* &quot;-&quot;??_);_(@_)"/>
      <alignment horizontal="righ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top" textRotation="0" wrapText="1" indent="0" justifyLastLine="0" shrinkToFit="0" readingOrder="0"/>
    </dxf>
    <dxf>
      <fill>
        <patternFill>
          <bgColor rgb="FFA0FFFF"/>
        </patternFill>
      </fill>
    </dxf>
    <dxf>
      <fill>
        <patternFill>
          <bgColor rgb="FFA0FFFF"/>
        </patternFill>
      </fill>
    </dxf>
    <dxf>
      <fill>
        <patternFill>
          <bgColor rgb="FFA0FFFF"/>
        </patternFill>
      </fill>
    </dxf>
    <dxf>
      <fill>
        <patternFill>
          <bgColor rgb="FFA0FFFF"/>
        </patternFill>
      </fill>
    </dxf>
    <dxf>
      <fill>
        <patternFill>
          <bgColor rgb="FFA0FFFF"/>
        </patternFill>
      </fill>
    </dxf>
    <dxf>
      <font>
        <strike val="0"/>
        <color theme="0"/>
      </font>
      <fill>
        <patternFill>
          <bgColor rgb="FF0000FF"/>
        </patternFill>
      </fill>
    </dxf>
    <dxf>
      <fill>
        <patternFill>
          <bgColor rgb="FFA0FFFF"/>
        </patternFill>
      </fill>
    </dxf>
    <dxf>
      <fill>
        <patternFill>
          <bgColor rgb="FFA0FFFF"/>
        </patternFill>
      </fill>
    </dxf>
    <dxf>
      <fill>
        <patternFill>
          <bgColor rgb="FFA0FFFF"/>
        </patternFill>
      </fill>
    </dxf>
    <dxf>
      <fill>
        <patternFill>
          <bgColor rgb="FFA0FFFF"/>
        </patternFill>
      </fill>
    </dxf>
  </dxfs>
  <tableStyles count="0" defaultTableStyle="TableStyleMedium9" defaultPivotStyle="PivotStyleLight16"/>
  <colors>
    <mruColors>
      <color rgb="FFA0FFFF"/>
      <color rgb="FF00FFFF"/>
      <color rgb="FFFFFFFF"/>
      <color rgb="FF3366FF"/>
      <color rgb="FF0000FF"/>
      <color rgb="FF0066FF"/>
      <color rgb="FFC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9525</xdr:colOff>
          <xdr:row>0</xdr:row>
          <xdr:rowOff>0</xdr:rowOff>
        </xdr:from>
        <xdr:to>
          <xdr:col>6</xdr:col>
          <xdr:colOff>704850</xdr:colOff>
          <xdr:row>2</xdr:row>
          <xdr:rowOff>152400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000-0000018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Update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66675</xdr:rowOff>
        </xdr:from>
        <xdr:to>
          <xdr:col>1</xdr:col>
          <xdr:colOff>352425</xdr:colOff>
          <xdr:row>0</xdr:row>
          <xdr:rowOff>409575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1466850</xdr:colOff>
          <xdr:row>0</xdr:row>
          <xdr:rowOff>66675</xdr:rowOff>
        </xdr:from>
        <xdr:to>
          <xdr:col>1</xdr:col>
          <xdr:colOff>419100</xdr:colOff>
          <xdr:row>0</xdr:row>
          <xdr:rowOff>409575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New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504825</xdr:colOff>
          <xdr:row>0</xdr:row>
          <xdr:rowOff>66675</xdr:rowOff>
        </xdr:from>
        <xdr:to>
          <xdr:col>2</xdr:col>
          <xdr:colOff>933450</xdr:colOff>
          <xdr:row>0</xdr:row>
          <xdr:rowOff>409575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200-0000023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Cancel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0</xdr:row>
          <xdr:rowOff>66675</xdr:rowOff>
        </xdr:from>
        <xdr:to>
          <xdr:col>0</xdr:col>
          <xdr:colOff>1390650</xdr:colOff>
          <xdr:row>0</xdr:row>
          <xdr:rowOff>409575</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495300</xdr:colOff>
          <xdr:row>0</xdr:row>
          <xdr:rowOff>66675</xdr:rowOff>
        </xdr:from>
        <xdr:to>
          <xdr:col>3</xdr:col>
          <xdr:colOff>257175</xdr:colOff>
          <xdr:row>0</xdr:row>
          <xdr:rowOff>409575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300-0000014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Place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0</xdr:row>
          <xdr:rowOff>66675</xdr:rowOff>
        </xdr:from>
        <xdr:to>
          <xdr:col>1</xdr:col>
          <xdr:colOff>419100</xdr:colOff>
          <xdr:row>0</xdr:row>
          <xdr:rowOff>409575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300-0000024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Update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1504950</xdr:colOff>
          <xdr:row>0</xdr:row>
          <xdr:rowOff>66675</xdr:rowOff>
        </xdr:from>
        <xdr:to>
          <xdr:col>1</xdr:col>
          <xdr:colOff>323850</xdr:colOff>
          <xdr:row>0</xdr:row>
          <xdr:rowOff>409575</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0400-000001C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Reset Cap Gains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438150</xdr:colOff>
          <xdr:row>0</xdr:row>
          <xdr:rowOff>66675</xdr:rowOff>
        </xdr:from>
        <xdr:to>
          <xdr:col>3</xdr:col>
          <xdr:colOff>571500</xdr:colOff>
          <xdr:row>0</xdr:row>
          <xdr:rowOff>409575</xdr:rowOff>
        </xdr:to>
        <xdr:sp macro="" textlink="">
          <xdr:nvSpPr>
            <xdr:cNvPr id="50178" name="Button 2" hidden="1">
              <a:extLst>
                <a:ext uri="{63B3BB69-23CF-44E3-9099-C40C66FF867C}">
                  <a14:compatExt spid="_x0000_s50178"/>
                </a:ext>
                <a:ext uri="{FF2B5EF4-FFF2-40B4-BE49-F238E27FC236}">
                  <a16:creationId xmlns:a16="http://schemas.microsoft.com/office/drawing/2014/main" id="{00000000-0008-0000-0400-000002C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Calculate Cap Gains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0</xdr:row>
          <xdr:rowOff>66675</xdr:rowOff>
        </xdr:from>
        <xdr:to>
          <xdr:col>0</xdr:col>
          <xdr:colOff>1390650</xdr:colOff>
          <xdr:row>0</xdr:row>
          <xdr:rowOff>409575</xdr:rowOff>
        </xdr:to>
        <xdr:sp macro="" textlink="">
          <xdr:nvSpPr>
            <xdr:cNvPr id="50179" name="Button 3" hidden="1">
              <a:extLst>
                <a:ext uri="{63B3BB69-23CF-44E3-9099-C40C66FF867C}">
                  <a14:compatExt spid="_x0000_s50179"/>
                </a:ext>
                <a:ext uri="{FF2B5EF4-FFF2-40B4-BE49-F238E27FC236}">
                  <a16:creationId xmlns:a16="http://schemas.microsoft.com/office/drawing/2014/main" id="{00000000-0008-0000-0400-000003C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Update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66675</xdr:rowOff>
        </xdr:from>
        <xdr:to>
          <xdr:col>0</xdr:col>
          <xdr:colOff>1371600</xdr:colOff>
          <xdr:row>0</xdr:row>
          <xdr:rowOff>409575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500-0000015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1476375</xdr:colOff>
          <xdr:row>0</xdr:row>
          <xdr:rowOff>66675</xdr:rowOff>
        </xdr:from>
        <xdr:to>
          <xdr:col>1</xdr:col>
          <xdr:colOff>1028700</xdr:colOff>
          <xdr:row>0</xdr:row>
          <xdr:rowOff>409575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500-0000025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Create Intra Trade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1114425</xdr:colOff>
          <xdr:row>0</xdr:row>
          <xdr:rowOff>66675</xdr:rowOff>
        </xdr:from>
        <xdr:to>
          <xdr:col>2</xdr:col>
          <xdr:colOff>723900</xdr:colOff>
          <xdr:row>0</xdr:row>
          <xdr:rowOff>409575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500-0000035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Create Internal Trade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790575</xdr:colOff>
          <xdr:row>0</xdr:row>
          <xdr:rowOff>66675</xdr:rowOff>
        </xdr:from>
        <xdr:to>
          <xdr:col>4</xdr:col>
          <xdr:colOff>666750</xdr:colOff>
          <xdr:row>0</xdr:row>
          <xdr:rowOff>409575</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Create External Trade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17</xdr:row>
          <xdr:rowOff>152400</xdr:rowOff>
        </xdr:from>
        <xdr:to>
          <xdr:col>2</xdr:col>
          <xdr:colOff>1038225</xdr:colOff>
          <xdr:row>19</xdr:row>
          <xdr:rowOff>152400</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600-000006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Buy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1038225</xdr:colOff>
          <xdr:row>17</xdr:row>
          <xdr:rowOff>142875</xdr:rowOff>
        </xdr:from>
        <xdr:to>
          <xdr:col>6</xdr:col>
          <xdr:colOff>1038225</xdr:colOff>
          <xdr:row>19</xdr:row>
          <xdr:rowOff>142875</xdr:rowOff>
        </xdr:to>
        <xdr:sp macro="" textlink="">
          <xdr:nvSpPr>
            <xdr:cNvPr id="29703" name="Button 7" hidden="1">
              <a:extLst>
                <a:ext uri="{63B3BB69-23CF-44E3-9099-C40C66FF867C}">
                  <a14:compatExt spid="_x0000_s29703"/>
                </a:ext>
                <a:ext uri="{FF2B5EF4-FFF2-40B4-BE49-F238E27FC236}">
                  <a16:creationId xmlns:a16="http://schemas.microsoft.com/office/drawing/2014/main" id="{00000000-0008-0000-0600-000007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Sell</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66675</xdr:rowOff>
        </xdr:from>
        <xdr:to>
          <xdr:col>1</xdr:col>
          <xdr:colOff>409575</xdr:colOff>
          <xdr:row>0</xdr:row>
          <xdr:rowOff>409575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700-0000015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Update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66675</xdr:rowOff>
        </xdr:from>
        <xdr:to>
          <xdr:col>1</xdr:col>
          <xdr:colOff>742950</xdr:colOff>
          <xdr:row>0</xdr:row>
          <xdr:rowOff>409575</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A00-000002A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Update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66675</xdr:rowOff>
        </xdr:from>
        <xdr:to>
          <xdr:col>0</xdr:col>
          <xdr:colOff>1381125</xdr:colOff>
          <xdr:row>0</xdr:row>
          <xdr:rowOff>409575</xdr:rowOff>
        </xdr:to>
        <xdr:sp macro="" textlink="">
          <xdr:nvSpPr>
            <xdr:cNvPr id="58370" name="Button 2" hidden="1">
              <a:extLst>
                <a:ext uri="{63B3BB69-23CF-44E3-9099-C40C66FF867C}">
                  <a14:compatExt spid="_x0000_s58370"/>
                </a:ext>
                <a:ext uri="{FF2B5EF4-FFF2-40B4-BE49-F238E27FC236}">
                  <a16:creationId xmlns:a16="http://schemas.microsoft.com/office/drawing/2014/main" id="{00000000-0008-0000-0B00-000002E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Import</a:t>
              </a:r>
            </a:p>
          </xdr:txBody>
        </xdr:sp>
        <xdr:clientData fPrintsWithSheet="0"/>
      </xdr:twoCellAnchor>
    </mc:Choice>
    <mc:Fallback/>
  </mc:AlternateContent>
</xdr:wsDr>
</file>

<file path=xl/queryTables/queryTable1.xml><?xml version="1.0" encoding="utf-8"?>
<queryTable xmlns="http://schemas.openxmlformats.org/spreadsheetml/2006/main" name="ExternalData_1" backgroundRefresh="0" connectionId="27" autoFormatId="16" applyNumberFormats="0" applyBorderFormats="0" applyFontFormats="0" applyPatternFormats="0" applyAlignmentFormats="0" applyWidthHeightFormats="0">
  <queryTableRefresh nextId="14">
    <queryTableFields count="7">
      <queryTableField id="8" name="QuotesId" tableColumnId="9"/>
      <queryTableField id="1" name="Exchange" tableColumnId="8"/>
      <queryTableField id="4" name="Base Currency" tableColumnId="4"/>
      <queryTableField id="3" name="Market Currency" tableColumnId="3"/>
      <queryTableField id="6" name="Base Currency Name" tableColumnId="6"/>
      <queryTableField id="5" name="Market Currency Name" tableColumnId="5"/>
      <queryTableField id="7" name="Price" tableColumnId="7"/>
    </queryTableFields>
  </queryTableRefresh>
</queryTable>
</file>

<file path=xl/queryTables/queryTable2.xml><?xml version="1.0" encoding="utf-8"?>
<queryTable xmlns="http://schemas.openxmlformats.org/spreadsheetml/2006/main" name="ExternalData_1" backgroundRefresh="0" connectionId="18" autoFormatId="16" applyNumberFormats="0" applyBorderFormats="0" applyFontFormats="0" applyPatternFormats="0" applyAlignmentFormats="0" applyWidthHeightFormats="0">
  <queryTableRefresh nextId="14">
    <queryTableFields count="5">
      <queryTableField id="1" name="Date" tableColumnId="4"/>
      <queryTableField id="10" name="BTC Price" tableColumnId="1"/>
      <queryTableField id="11" name="ETH Price" tableColumnId="2"/>
      <queryTableField id="12" name="USDT Price" tableColumnId="3"/>
      <queryTableField id="13" name="BNB Price"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2" name="Quotes" displayName="Quotes" ref="A1:G579" tableType="queryTable" totalsRowShown="0" headerRowDxfId="16">
  <autoFilter ref="A1:G579"/>
  <tableColumns count="7">
    <tableColumn id="9" uniqueName="9" name="QuotesId" queryTableFieldId="8" dataDxfId="15"/>
    <tableColumn id="8" uniqueName="8" name="Exchange" queryTableFieldId="1" dataDxfId="14"/>
    <tableColumn id="4" uniqueName="4" name="Base Currency" queryTableFieldId="4" dataDxfId="13"/>
    <tableColumn id="3" uniqueName="3" name="Market Currency" queryTableFieldId="3" dataDxfId="12"/>
    <tableColumn id="6" uniqueName="6" name="Base Currency Name" queryTableFieldId="6" dataDxfId="11"/>
    <tableColumn id="5" uniqueName="5" name="Market Currency Name" queryTableFieldId="5" dataDxfId="10"/>
    <tableColumn id="7" uniqueName="7" name="Price" queryTableFieldId="7" dataDxfId="9" dataCellStyle="Comma"/>
  </tableColumns>
  <tableStyleInfo name="TableStyleMedium7" showFirstColumn="0" showLastColumn="0" showRowStripes="1" showColumnStripes="0"/>
</table>
</file>

<file path=xl/tables/table2.xml><?xml version="1.0" encoding="utf-8"?>
<table xmlns="http://schemas.openxmlformats.org/spreadsheetml/2006/main" id="4" name="HistoricalQuotes" displayName="HistoricalQuotes" ref="A1:E211" tableType="queryTable" totalsRowShown="0" headerRowDxfId="8">
  <autoFilter ref="A1:E211"/>
  <tableColumns count="5">
    <tableColumn id="4" uniqueName="4" name="Date" queryTableFieldId="1" dataDxfId="7"/>
    <tableColumn id="1" uniqueName="1" name="BTC Price" queryTableFieldId="10" dataDxfId="6"/>
    <tableColumn id="2" uniqueName="2" name="ETH Price" queryTableFieldId="11" dataDxfId="5"/>
    <tableColumn id="3" uniqueName="3" name="USDT Price" queryTableFieldId="12" dataDxfId="4"/>
    <tableColumn id="5" uniqueName="5" name="BNB Price" queryTableFieldId="13" dataDxf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trlProp" Target="../ctrlProps/ctrlProp1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hyperlink" Target="https://www.coinbase.com/join/59947aec25bf3c01ca08f85b" TargetMode="External"/><Relationship Id="rId1" Type="http://schemas.openxmlformats.org/officeDocument/2006/relationships/hyperlink" Target="https://www.binance.com/?ref=10916885" TargetMode="Externa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mailto:john.andrew.purvis@gmail.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M7"/>
  <sheetViews>
    <sheetView tabSelected="1" zoomScale="130" zoomScaleNormal="130" workbookViewId="0">
      <pane ySplit="7" topLeftCell="A8" activePane="bottomLeft" state="frozen"/>
      <selection pane="bottomLeft" activeCell="B1" sqref="B1:C1"/>
    </sheetView>
  </sheetViews>
  <sheetFormatPr defaultRowHeight="12.75" x14ac:dyDescent="0.2"/>
  <cols>
    <col min="1" max="1" width="12.28515625" style="41" bestFit="1" customWidth="1"/>
    <col min="2" max="2" width="11.42578125" style="41" bestFit="1" customWidth="1"/>
    <col min="3" max="3" width="10.7109375" style="75" bestFit="1" customWidth="1"/>
    <col min="4" max="4" width="10.5703125" style="76" bestFit="1" customWidth="1"/>
    <col min="5" max="5" width="10.140625" style="77" bestFit="1" customWidth="1"/>
    <col min="6" max="6" width="10.7109375" style="75" bestFit="1" customWidth="1"/>
    <col min="7" max="7" width="10.5703125" style="76" bestFit="1" customWidth="1"/>
    <col min="8" max="8" width="10.140625" style="77" bestFit="1" customWidth="1"/>
    <col min="9" max="9" width="10.140625" style="78" bestFit="1" customWidth="1"/>
    <col min="11" max="11" width="9.28515625" bestFit="1" customWidth="1"/>
    <col min="12" max="12" width="10.28515625" bestFit="1" customWidth="1"/>
    <col min="13" max="13" width="10.140625" bestFit="1" customWidth="1"/>
  </cols>
  <sheetData>
    <row r="1" spans="1:13" x14ac:dyDescent="0.2">
      <c r="A1" s="7" t="s">
        <v>665</v>
      </c>
      <c r="B1" s="147"/>
      <c r="C1" s="147"/>
    </row>
    <row r="2" spans="1:13" x14ac:dyDescent="0.2">
      <c r="A2" s="7" t="s">
        <v>666</v>
      </c>
      <c r="B2" s="148">
        <v>0</v>
      </c>
      <c r="C2" s="148"/>
    </row>
    <row r="3" spans="1:13" x14ac:dyDescent="0.2">
      <c r="A3" s="7" t="s">
        <v>752</v>
      </c>
      <c r="B3" s="149" t="e">
        <f>PortfolioMarketValue</f>
        <v>#REF!</v>
      </c>
      <c r="C3" s="149"/>
    </row>
    <row r="4" spans="1:13" x14ac:dyDescent="0.2">
      <c r="A4" s="83"/>
      <c r="B4" s="82"/>
      <c r="C4" s="82"/>
    </row>
    <row r="5" spans="1:13" ht="30" customHeight="1" x14ac:dyDescent="0.2">
      <c r="A5" s="145"/>
      <c r="B5" s="146"/>
      <c r="C5" s="144" t="s">
        <v>254</v>
      </c>
      <c r="D5" s="144"/>
      <c r="E5" s="144"/>
      <c r="F5" s="144" t="s">
        <v>255</v>
      </c>
      <c r="G5" s="144"/>
      <c r="H5" s="144"/>
      <c r="I5" s="74"/>
      <c r="K5" s="144" t="s">
        <v>667</v>
      </c>
      <c r="L5" s="144"/>
      <c r="M5" s="144"/>
    </row>
    <row r="6" spans="1:13" x14ac:dyDescent="0.2">
      <c r="A6" s="7" t="s">
        <v>231</v>
      </c>
      <c r="B6" s="7" t="s">
        <v>25</v>
      </c>
      <c r="C6" s="142" t="s">
        <v>222</v>
      </c>
      <c r="D6" s="142" t="s">
        <v>223</v>
      </c>
      <c r="E6" s="142" t="s">
        <v>1</v>
      </c>
      <c r="F6" s="142" t="s">
        <v>222</v>
      </c>
      <c r="G6" s="142" t="s">
        <v>223</v>
      </c>
      <c r="H6" s="142" t="s">
        <v>1</v>
      </c>
      <c r="I6" s="142" t="s">
        <v>1</v>
      </c>
      <c r="K6" s="84" t="s">
        <v>193</v>
      </c>
      <c r="L6" s="84" t="s">
        <v>196</v>
      </c>
      <c r="M6" s="84" t="s">
        <v>1</v>
      </c>
    </row>
    <row r="7" spans="1:13" s="10" customFormat="1" x14ac:dyDescent="0.2">
      <c r="A7" s="7" t="s">
        <v>1</v>
      </c>
      <c r="B7" s="7"/>
      <c r="C7" s="74" t="e">
        <f>SUM(#REF!)</f>
        <v>#REF!</v>
      </c>
      <c r="D7" s="74" t="e">
        <f>SUM(#REF!)</f>
        <v>#REF!</v>
      </c>
      <c r="E7" s="74" t="e">
        <f>SUM(#REF!)</f>
        <v>#REF!</v>
      </c>
      <c r="F7" s="74" t="e">
        <f>SUM(#REF!)</f>
        <v>#REF!</v>
      </c>
      <c r="G7" s="74" t="e">
        <f>SUM(#REF!)</f>
        <v>#REF!</v>
      </c>
      <c r="H7" s="74" t="e">
        <f>SUM(#REF!)</f>
        <v>#REF!</v>
      </c>
      <c r="I7" s="74" t="e">
        <f>SUM(#REF!)</f>
        <v>#REF!</v>
      </c>
      <c r="K7" s="85" t="e">
        <f>SUM(#REF!)</f>
        <v>#REF!</v>
      </c>
      <c r="L7" s="85" t="e">
        <f>SUM(#REF!)</f>
        <v>#REF!</v>
      </c>
      <c r="M7" s="85" t="e">
        <f>SUM(#REF!)</f>
        <v>#REF!</v>
      </c>
    </row>
  </sheetData>
  <autoFilter ref="A6:M7"/>
  <mergeCells count="7">
    <mergeCell ref="K5:M5"/>
    <mergeCell ref="C5:E5"/>
    <mergeCell ref="F5:H5"/>
    <mergeCell ref="A5:B5"/>
    <mergeCell ref="B1:C1"/>
    <mergeCell ref="B2:C2"/>
    <mergeCell ref="B3:C3"/>
  </mergeCells>
  <conditionalFormatting sqref="A1:XFD2 D3:XFD3 A3:B3 A4:XFD1048576">
    <cfRule type="expression" dxfId="26" priority="2">
      <formula>MOD(ROW(),2)=1</formula>
    </cfRule>
  </conditionalFormatting>
  <conditionalFormatting sqref="K5">
    <cfRule type="expression" dxfId="25" priority="1">
      <formula>MOD(ROW(),2)=1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Update">
                <anchor>
                  <from>
                    <xdr:col>4</xdr:col>
                    <xdr:colOff>9525</xdr:colOff>
                    <xdr:row>0</xdr:row>
                    <xdr:rowOff>0</xdr:rowOff>
                  </from>
                  <to>
                    <xdr:col>6</xdr:col>
                    <xdr:colOff>704850</xdr:colOff>
                    <xdr:row>2</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S4"/>
  <sheetViews>
    <sheetView zoomScale="110" zoomScaleNormal="110" workbookViewId="0">
      <pane ySplit="2" topLeftCell="A3" activePane="bottomLeft" state="frozen"/>
      <selection pane="bottomLeft" sqref="A1:K1"/>
    </sheetView>
  </sheetViews>
  <sheetFormatPr defaultColWidth="10" defaultRowHeight="12.75" x14ac:dyDescent="0.2"/>
  <cols>
    <col min="1" max="1" width="15.28515625" style="51" bestFit="1" customWidth="1"/>
    <col min="2" max="2" width="9.5703125" style="51" bestFit="1" customWidth="1"/>
    <col min="3" max="3" width="27.28515625" style="72" bestFit="1" customWidth="1"/>
    <col min="4" max="4" width="16.42578125" style="63" customWidth="1"/>
    <col min="5" max="5" width="9.85546875" style="60" customWidth="1"/>
    <col min="6" max="6" width="17.140625" style="63" bestFit="1" customWidth="1"/>
    <col min="7" max="8" width="9.5703125" style="60" bestFit="1" customWidth="1"/>
    <col min="9" max="9" width="9.7109375" style="60" bestFit="1" customWidth="1"/>
    <col min="10" max="10" width="10" style="56" customWidth="1"/>
    <col min="11" max="11" width="11.42578125" style="56" customWidth="1"/>
    <col min="12" max="12" width="2" style="20" customWidth="1"/>
    <col min="13" max="13" width="10.28515625" style="137" customWidth="1"/>
    <col min="14" max="14" width="15.7109375" style="138" customWidth="1"/>
    <col min="15" max="15" width="2" style="20" customWidth="1"/>
    <col min="16" max="16" width="10.5703125" style="58" bestFit="1" customWidth="1"/>
    <col min="17" max="17" width="15" style="63" customWidth="1"/>
    <col min="18" max="18" width="10" style="60" customWidth="1"/>
    <col min="19" max="19" width="9.7109375" style="60" bestFit="1" customWidth="1"/>
    <col min="20" max="16384" width="10" style="21"/>
  </cols>
  <sheetData>
    <row r="1" spans="1:19" ht="37.5" customHeight="1" x14ac:dyDescent="0.2">
      <c r="A1" s="151" t="s">
        <v>205</v>
      </c>
      <c r="B1" s="152"/>
      <c r="C1" s="152"/>
      <c r="D1" s="152"/>
      <c r="E1" s="152"/>
      <c r="F1" s="152"/>
      <c r="G1" s="152"/>
      <c r="H1" s="152"/>
      <c r="I1" s="152"/>
      <c r="J1" s="152"/>
      <c r="K1" s="153"/>
      <c r="M1" s="150" t="s">
        <v>652</v>
      </c>
      <c r="N1" s="150"/>
      <c r="P1" s="150" t="s">
        <v>206</v>
      </c>
      <c r="Q1" s="150"/>
      <c r="R1" s="150"/>
      <c r="S1" s="150"/>
    </row>
    <row r="2" spans="1:19" s="22" customFormat="1" ht="37.5" customHeight="1" x14ac:dyDescent="0.2">
      <c r="A2" s="50" t="s">
        <v>231</v>
      </c>
      <c r="B2" s="50" t="s">
        <v>25</v>
      </c>
      <c r="C2" s="49" t="s">
        <v>17</v>
      </c>
      <c r="D2" s="62" t="s">
        <v>18</v>
      </c>
      <c r="E2" s="59" t="s">
        <v>2</v>
      </c>
      <c r="F2" s="62" t="s">
        <v>227</v>
      </c>
      <c r="G2" s="59" t="s">
        <v>203</v>
      </c>
      <c r="H2" s="59" t="s">
        <v>0</v>
      </c>
      <c r="I2" s="59" t="s">
        <v>216</v>
      </c>
      <c r="J2" s="48" t="s">
        <v>217</v>
      </c>
      <c r="K2" s="48" t="s">
        <v>4</v>
      </c>
      <c r="L2" s="73"/>
      <c r="M2" s="48" t="s">
        <v>4</v>
      </c>
      <c r="N2" s="62" t="s">
        <v>18</v>
      </c>
      <c r="O2" s="73"/>
      <c r="P2" s="57" t="s">
        <v>3</v>
      </c>
      <c r="Q2" s="62" t="s">
        <v>18</v>
      </c>
      <c r="R2" s="59" t="s">
        <v>203</v>
      </c>
      <c r="S2" s="59" t="s">
        <v>216</v>
      </c>
    </row>
    <row r="3" spans="1:19" x14ac:dyDescent="0.2">
      <c r="A3" s="66" t="s">
        <v>1</v>
      </c>
      <c r="B3" s="66"/>
      <c r="C3" s="71"/>
      <c r="D3" s="67"/>
      <c r="E3" s="68" t="e">
        <f>SUM(#REF!)</f>
        <v>#REF!</v>
      </c>
      <c r="F3" s="67"/>
      <c r="G3" s="68"/>
      <c r="H3" s="68" t="e">
        <f>SUM(#REF!)</f>
        <v>#REF!</v>
      </c>
      <c r="I3" s="68" t="e">
        <f>SUM(#REF!)</f>
        <v>#REF!</v>
      </c>
      <c r="J3" s="69">
        <f>IFERROR($I3/$E3,0)</f>
        <v>0</v>
      </c>
      <c r="K3" s="70" t="e">
        <f>SUM(#REF!)</f>
        <v>#REF!</v>
      </c>
      <c r="L3" s="23"/>
      <c r="M3" s="70" t="e">
        <f>SUM(#REF!)</f>
        <v>#REF!</v>
      </c>
      <c r="N3" s="70">
        <v>0.2</v>
      </c>
      <c r="O3" s="23"/>
      <c r="S3" s="68" t="e">
        <f>SUM(#REF!)</f>
        <v>#REF!</v>
      </c>
    </row>
    <row r="4" spans="1:19" x14ac:dyDescent="0.2">
      <c r="L4" s="21"/>
      <c r="O4" s="21"/>
    </row>
  </sheetData>
  <autoFilter ref="A2:S3"/>
  <sortState ref="A3:S3">
    <sortCondition ref="A3"/>
    <sortCondition ref="B3"/>
  </sortState>
  <mergeCells count="3">
    <mergeCell ref="P1:S1"/>
    <mergeCell ref="A1:K1"/>
    <mergeCell ref="M1:N1"/>
  </mergeCells>
  <conditionalFormatting sqref="A1:XFD1048576">
    <cfRule type="expression" dxfId="24" priority="10484">
      <formula>MOD(ROW(),2)=1</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UpdatePortfolioSheet">
                <anchor>
                  <from>
                    <xdr:col>0</xdr:col>
                    <xdr:colOff>0</xdr:colOff>
                    <xdr:row>0</xdr:row>
                    <xdr:rowOff>66675</xdr:rowOff>
                  </from>
                  <to>
                    <xdr:col>1</xdr:col>
                    <xdr:colOff>352425</xdr:colOff>
                    <xdr:row>0</xdr:row>
                    <xdr:rowOff>409575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I2"/>
  <sheetViews>
    <sheetView zoomScale="130" zoomScaleNormal="130" workbookViewId="0">
      <pane ySplit="2" topLeftCell="A3" activePane="bottomLeft" state="frozen"/>
      <selection pane="bottomLeft" sqref="A1:I1"/>
    </sheetView>
  </sheetViews>
  <sheetFormatPr defaultColWidth="6.85546875" defaultRowHeight="12.75" x14ac:dyDescent="0.2"/>
  <cols>
    <col min="1" max="1" width="36.7109375" style="12" bestFit="1" customWidth="1"/>
    <col min="2" max="2" width="14.5703125" style="12" bestFit="1" customWidth="1"/>
    <col min="3" max="3" width="18.85546875" style="12" bestFit="1" customWidth="1"/>
    <col min="4" max="4" width="13.7109375" style="126" bestFit="1" customWidth="1"/>
    <col min="5" max="5" width="10" style="12" bestFit="1" customWidth="1"/>
    <col min="6" max="6" width="12.7109375" style="127" bestFit="1" customWidth="1"/>
    <col min="7" max="7" width="15.42578125" style="128" bestFit="1" customWidth="1"/>
    <col min="8" max="8" width="19" style="129" bestFit="1" customWidth="1"/>
    <col min="9" max="9" width="19" style="130" bestFit="1" customWidth="1"/>
  </cols>
  <sheetData>
    <row r="1" spans="1:9" ht="37.5" customHeight="1" x14ac:dyDescent="0.2">
      <c r="A1" s="154"/>
      <c r="B1" s="154"/>
      <c r="C1" s="154"/>
      <c r="D1" s="154"/>
      <c r="E1" s="154"/>
      <c r="F1" s="154"/>
      <c r="G1" s="154"/>
      <c r="H1" s="154"/>
      <c r="I1" s="154"/>
    </row>
    <row r="2" spans="1:9" s="40" customFormat="1" ht="30" customHeight="1" x14ac:dyDescent="0.2">
      <c r="A2" s="35" t="s">
        <v>253</v>
      </c>
      <c r="B2" s="35" t="s">
        <v>231</v>
      </c>
      <c r="C2" s="35" t="s">
        <v>191</v>
      </c>
      <c r="D2" s="35" t="s">
        <v>190</v>
      </c>
      <c r="E2" s="35" t="s">
        <v>226</v>
      </c>
      <c r="F2" s="87" t="s">
        <v>18</v>
      </c>
      <c r="G2" s="87" t="s">
        <v>188</v>
      </c>
      <c r="H2" s="36" t="s">
        <v>192</v>
      </c>
      <c r="I2" s="38" t="s">
        <v>213</v>
      </c>
    </row>
  </sheetData>
  <autoFilter ref="A2:I2"/>
  <mergeCells count="1">
    <mergeCell ref="A1:I1"/>
  </mergeCells>
  <conditionalFormatting sqref="A1 J1:XFD1 A2:XFD1048576">
    <cfRule type="expression" dxfId="23" priority="10490">
      <formula>MOD(ROW(),2)=1</formula>
    </cfRule>
  </conditionalFormatting>
  <conditionalFormatting sqref="I2:I1048576">
    <cfRule type="expression" dxfId="22" priority="9379" stopIfTrue="1">
      <formula>AND($I2&lt;&gt;"",$I2&lt;0.05,$I2&gt;-0.05)</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Order">
                <anchor>
                  <from>
                    <xdr:col>0</xdr:col>
                    <xdr:colOff>1466850</xdr:colOff>
                    <xdr:row>0</xdr:row>
                    <xdr:rowOff>66675</xdr:rowOff>
                  </from>
                  <to>
                    <xdr:col>1</xdr:col>
                    <xdr:colOff>419100</xdr:colOff>
                    <xdr:row>0</xdr:row>
                    <xdr:rowOff>409575</xdr:rowOff>
                  </to>
                </anchor>
              </controlPr>
            </control>
          </mc:Choice>
        </mc:AlternateContent>
        <mc:AlternateContent xmlns:mc="http://schemas.openxmlformats.org/markup-compatibility/2006">
          <mc:Choice Requires="x14">
            <control shapeId="14338" r:id="rId5" name="Button 2">
              <controlPr defaultSize="0" print="0" autoFill="0" autoPict="0" macro="[0]!CancelOrders">
                <anchor>
                  <from>
                    <xdr:col>1</xdr:col>
                    <xdr:colOff>504825</xdr:colOff>
                    <xdr:row>0</xdr:row>
                    <xdr:rowOff>66675</xdr:rowOff>
                  </from>
                  <to>
                    <xdr:col>2</xdr:col>
                    <xdr:colOff>933450</xdr:colOff>
                    <xdr:row>0</xdr:row>
                    <xdr:rowOff>409575</xdr:rowOff>
                  </to>
                </anchor>
              </controlPr>
            </control>
          </mc:Choice>
        </mc:AlternateContent>
        <mc:AlternateContent xmlns:mc="http://schemas.openxmlformats.org/markup-compatibility/2006">
          <mc:Choice Requires="x14">
            <control shapeId="14339" r:id="rId6" name="Button 3">
              <controlPr defaultSize="0" print="0" autoFill="0" autoPict="0" macro="[0]!UpdateOrdersSheet">
                <anchor>
                  <from>
                    <xdr:col>0</xdr:col>
                    <xdr:colOff>19050</xdr:colOff>
                    <xdr:row>0</xdr:row>
                    <xdr:rowOff>66675</xdr:rowOff>
                  </from>
                  <to>
                    <xdr:col>0</xdr:col>
                    <xdr:colOff>1390650</xdr:colOff>
                    <xdr:row>0</xdr:row>
                    <xdr:rowOff>409575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N26"/>
  <sheetViews>
    <sheetView zoomScale="130" zoomScaleNormal="130" workbookViewId="0">
      <pane ySplit="2" topLeftCell="A3" activePane="bottomLeft" state="frozen"/>
      <selection pane="bottomLeft" sqref="A1:N1"/>
    </sheetView>
  </sheetViews>
  <sheetFormatPr defaultColWidth="7.7109375" defaultRowHeight="12.75" x14ac:dyDescent="0.2"/>
  <cols>
    <col min="1" max="1" width="14.5703125" style="11" bestFit="1" customWidth="1"/>
    <col min="2" max="2" width="13.7109375" style="11" bestFit="1" customWidth="1"/>
    <col min="3" max="3" width="10.5703125" style="11" customWidth="1"/>
    <col min="4" max="14" width="14.28515625" style="10" customWidth="1"/>
    <col min="15" max="16384" width="7.7109375" style="10"/>
  </cols>
  <sheetData>
    <row r="1" spans="1:14" ht="37.5" customHeight="1" x14ac:dyDescent="0.2">
      <c r="A1" s="155"/>
      <c r="B1" s="155"/>
      <c r="C1" s="155"/>
      <c r="D1" s="155"/>
      <c r="E1" s="155"/>
      <c r="F1" s="155"/>
      <c r="G1" s="155"/>
      <c r="H1" s="155"/>
      <c r="I1" s="155"/>
      <c r="J1" s="155"/>
      <c r="K1" s="155"/>
      <c r="L1" s="155"/>
      <c r="M1" s="155"/>
      <c r="N1" s="155"/>
    </row>
    <row r="2" spans="1:14" s="40" customFormat="1" ht="30" customHeight="1" x14ac:dyDescent="0.2">
      <c r="A2" s="37" t="s">
        <v>231</v>
      </c>
      <c r="B2" s="37" t="s">
        <v>190</v>
      </c>
      <c r="C2" s="37" t="s">
        <v>191</v>
      </c>
      <c r="D2" s="86" t="s">
        <v>230</v>
      </c>
      <c r="E2" s="86" t="s">
        <v>5</v>
      </c>
      <c r="F2" s="86">
        <v>0.05</v>
      </c>
      <c r="G2" s="86">
        <v>0.1</v>
      </c>
      <c r="H2" s="86">
        <v>0.15</v>
      </c>
      <c r="I2" s="86">
        <v>0.2</v>
      </c>
      <c r="J2" s="86">
        <v>0.25</v>
      </c>
      <c r="K2" s="86">
        <v>0.3</v>
      </c>
      <c r="L2" s="86">
        <v>0.4</v>
      </c>
      <c r="M2" s="86">
        <v>0.5</v>
      </c>
      <c r="N2" s="86">
        <v>1</v>
      </c>
    </row>
    <row r="3" spans="1:14" x14ac:dyDescent="0.2">
      <c r="A3" s="8" t="e">
        <f>Trades!#REF!</f>
        <v>#REF!</v>
      </c>
      <c r="B3" s="8" t="e">
        <f>Trades!#REF!</f>
        <v>#REF!</v>
      </c>
      <c r="C3" s="8" t="e">
        <f>Trades!#REF!</f>
        <v>#REF!</v>
      </c>
      <c r="D3" s="28" t="e">
        <f>Trades!#REF!*IF(Trades!#REF!="SELL",-1,1)</f>
        <v>#REF!</v>
      </c>
      <c r="E3" s="28" t="e">
        <f>Trades!#REF!</f>
        <v>#REF!</v>
      </c>
      <c r="F3" s="28" t="e">
        <f t="shared" ref="F3:N26" si="0">ROUND($E3*IF($D3&gt;0,(1+F$2),(1-F$2)),8)</f>
        <v>#REF!</v>
      </c>
      <c r="G3" s="28" t="e">
        <f t="shared" si="0"/>
        <v>#REF!</v>
      </c>
      <c r="H3" s="28" t="e">
        <f t="shared" ref="H3:N18" si="1">ROUND($E3*IF($D3&gt;0,(1+H$2),(1-H$2)),8)</f>
        <v>#REF!</v>
      </c>
      <c r="I3" s="28" t="e">
        <f t="shared" si="1"/>
        <v>#REF!</v>
      </c>
      <c r="J3" s="28" t="e">
        <f t="shared" si="1"/>
        <v>#REF!</v>
      </c>
      <c r="K3" s="28" t="e">
        <f t="shared" si="1"/>
        <v>#REF!</v>
      </c>
      <c r="L3" s="28" t="e">
        <f t="shared" si="1"/>
        <v>#REF!</v>
      </c>
      <c r="M3" s="28" t="e">
        <f t="shared" si="1"/>
        <v>#REF!</v>
      </c>
      <c r="N3" s="28" t="e">
        <f t="shared" si="1"/>
        <v>#REF!</v>
      </c>
    </row>
    <row r="4" spans="1:14" x14ac:dyDescent="0.2">
      <c r="A4" s="8" t="e">
        <f>Trades!#REF!</f>
        <v>#REF!</v>
      </c>
      <c r="B4" s="8" t="e">
        <f>Trades!#REF!</f>
        <v>#REF!</v>
      </c>
      <c r="C4" s="8" t="e">
        <f>Trades!#REF!</f>
        <v>#REF!</v>
      </c>
      <c r="D4" s="28" t="e">
        <f>Trades!#REF!*IF(Trades!#REF!="SELL",-1,1)</f>
        <v>#REF!</v>
      </c>
      <c r="E4" s="28" t="e">
        <f>Trades!#REF!</f>
        <v>#REF!</v>
      </c>
      <c r="F4" s="28" t="e">
        <f t="shared" si="0"/>
        <v>#REF!</v>
      </c>
      <c r="G4" s="28" t="e">
        <f t="shared" si="0"/>
        <v>#REF!</v>
      </c>
      <c r="H4" s="28" t="e">
        <f t="shared" si="1"/>
        <v>#REF!</v>
      </c>
      <c r="I4" s="28" t="e">
        <f t="shared" si="1"/>
        <v>#REF!</v>
      </c>
      <c r="J4" s="28" t="e">
        <f t="shared" si="1"/>
        <v>#REF!</v>
      </c>
      <c r="K4" s="28" t="e">
        <f t="shared" si="1"/>
        <v>#REF!</v>
      </c>
      <c r="L4" s="28" t="e">
        <f t="shared" si="1"/>
        <v>#REF!</v>
      </c>
      <c r="M4" s="28" t="e">
        <f t="shared" si="1"/>
        <v>#REF!</v>
      </c>
      <c r="N4" s="28" t="e">
        <f t="shared" si="1"/>
        <v>#REF!</v>
      </c>
    </row>
    <row r="5" spans="1:14" x14ac:dyDescent="0.2">
      <c r="A5" s="8" t="e">
        <f>Trades!#REF!</f>
        <v>#REF!</v>
      </c>
      <c r="B5" s="8" t="e">
        <f>Trades!#REF!</f>
        <v>#REF!</v>
      </c>
      <c r="C5" s="8" t="e">
        <f>Trades!#REF!</f>
        <v>#REF!</v>
      </c>
      <c r="D5" s="28" t="e">
        <f>Trades!#REF!*IF(Trades!#REF!="SELL",-1,1)</f>
        <v>#REF!</v>
      </c>
      <c r="E5" s="28" t="e">
        <f>Trades!#REF!</f>
        <v>#REF!</v>
      </c>
      <c r="F5" s="28" t="e">
        <f t="shared" si="0"/>
        <v>#REF!</v>
      </c>
      <c r="G5" s="28" t="e">
        <f t="shared" si="0"/>
        <v>#REF!</v>
      </c>
      <c r="H5" s="28" t="e">
        <f t="shared" si="1"/>
        <v>#REF!</v>
      </c>
      <c r="I5" s="28" t="e">
        <f t="shared" si="1"/>
        <v>#REF!</v>
      </c>
      <c r="J5" s="28" t="e">
        <f t="shared" si="1"/>
        <v>#REF!</v>
      </c>
      <c r="K5" s="28" t="e">
        <f t="shared" si="1"/>
        <v>#REF!</v>
      </c>
      <c r="L5" s="28" t="e">
        <f t="shared" si="1"/>
        <v>#REF!</v>
      </c>
      <c r="M5" s="28" t="e">
        <f t="shared" si="1"/>
        <v>#REF!</v>
      </c>
      <c r="N5" s="28" t="e">
        <f t="shared" si="1"/>
        <v>#REF!</v>
      </c>
    </row>
    <row r="6" spans="1:14" x14ac:dyDescent="0.2">
      <c r="A6" s="8" t="e">
        <f>Trades!#REF!</f>
        <v>#REF!</v>
      </c>
      <c r="B6" s="8" t="e">
        <f>Trades!#REF!</f>
        <v>#REF!</v>
      </c>
      <c r="C6" s="8" t="e">
        <f>Trades!#REF!</f>
        <v>#REF!</v>
      </c>
      <c r="D6" s="28" t="e">
        <f>Trades!#REF!*IF(Trades!#REF!="SELL",-1,1)</f>
        <v>#REF!</v>
      </c>
      <c r="E6" s="28" t="e">
        <f>Trades!#REF!</f>
        <v>#REF!</v>
      </c>
      <c r="F6" s="28" t="e">
        <f t="shared" si="0"/>
        <v>#REF!</v>
      </c>
      <c r="G6" s="28" t="e">
        <f t="shared" si="0"/>
        <v>#REF!</v>
      </c>
      <c r="H6" s="28" t="e">
        <f t="shared" si="1"/>
        <v>#REF!</v>
      </c>
      <c r="I6" s="28" t="e">
        <f t="shared" si="1"/>
        <v>#REF!</v>
      </c>
      <c r="J6" s="28" t="e">
        <f t="shared" si="1"/>
        <v>#REF!</v>
      </c>
      <c r="K6" s="28" t="e">
        <f t="shared" si="1"/>
        <v>#REF!</v>
      </c>
      <c r="L6" s="28" t="e">
        <f t="shared" si="1"/>
        <v>#REF!</v>
      </c>
      <c r="M6" s="28" t="e">
        <f t="shared" si="1"/>
        <v>#REF!</v>
      </c>
      <c r="N6" s="28" t="e">
        <f t="shared" si="1"/>
        <v>#REF!</v>
      </c>
    </row>
    <row r="7" spans="1:14" x14ac:dyDescent="0.2">
      <c r="A7" s="8" t="e">
        <f>Trades!#REF!</f>
        <v>#REF!</v>
      </c>
      <c r="B7" s="8" t="e">
        <f>Trades!#REF!</f>
        <v>#REF!</v>
      </c>
      <c r="C7" s="8" t="e">
        <f>Trades!#REF!</f>
        <v>#REF!</v>
      </c>
      <c r="D7" s="28" t="e">
        <f>Trades!#REF!*IF(Trades!#REF!="SELL",-1,1)</f>
        <v>#REF!</v>
      </c>
      <c r="E7" s="28" t="e">
        <f>Trades!#REF!</f>
        <v>#REF!</v>
      </c>
      <c r="F7" s="28" t="e">
        <f t="shared" si="0"/>
        <v>#REF!</v>
      </c>
      <c r="G7" s="28" t="e">
        <f t="shared" si="0"/>
        <v>#REF!</v>
      </c>
      <c r="H7" s="28" t="e">
        <f t="shared" si="1"/>
        <v>#REF!</v>
      </c>
      <c r="I7" s="28" t="e">
        <f t="shared" si="1"/>
        <v>#REF!</v>
      </c>
      <c r="J7" s="28" t="e">
        <f t="shared" si="1"/>
        <v>#REF!</v>
      </c>
      <c r="K7" s="28" t="e">
        <f t="shared" si="1"/>
        <v>#REF!</v>
      </c>
      <c r="L7" s="28" t="e">
        <f t="shared" si="1"/>
        <v>#REF!</v>
      </c>
      <c r="M7" s="28" t="e">
        <f t="shared" si="1"/>
        <v>#REF!</v>
      </c>
      <c r="N7" s="28" t="e">
        <f t="shared" si="1"/>
        <v>#REF!</v>
      </c>
    </row>
    <row r="8" spans="1:14" x14ac:dyDescent="0.2">
      <c r="A8" s="8" t="e">
        <f>Trades!#REF!</f>
        <v>#REF!</v>
      </c>
      <c r="B8" s="8" t="e">
        <f>Trades!#REF!</f>
        <v>#REF!</v>
      </c>
      <c r="C8" s="8" t="e">
        <f>Trades!#REF!</f>
        <v>#REF!</v>
      </c>
      <c r="D8" s="28" t="e">
        <f>Trades!#REF!*IF(Trades!#REF!="SELL",-1,1)</f>
        <v>#REF!</v>
      </c>
      <c r="E8" s="28" t="e">
        <f>Trades!#REF!</f>
        <v>#REF!</v>
      </c>
      <c r="F8" s="28" t="e">
        <f t="shared" si="0"/>
        <v>#REF!</v>
      </c>
      <c r="G8" s="28" t="e">
        <f t="shared" si="0"/>
        <v>#REF!</v>
      </c>
      <c r="H8" s="28" t="e">
        <f t="shared" si="1"/>
        <v>#REF!</v>
      </c>
      <c r="I8" s="28" t="e">
        <f t="shared" si="1"/>
        <v>#REF!</v>
      </c>
      <c r="J8" s="28" t="e">
        <f t="shared" si="1"/>
        <v>#REF!</v>
      </c>
      <c r="K8" s="28" t="e">
        <f t="shared" si="1"/>
        <v>#REF!</v>
      </c>
      <c r="L8" s="28" t="e">
        <f t="shared" si="1"/>
        <v>#REF!</v>
      </c>
      <c r="M8" s="28" t="e">
        <f t="shared" si="1"/>
        <v>#REF!</v>
      </c>
      <c r="N8" s="28" t="e">
        <f t="shared" si="1"/>
        <v>#REF!</v>
      </c>
    </row>
    <row r="9" spans="1:14" x14ac:dyDescent="0.2">
      <c r="A9" s="8" t="e">
        <f>Trades!#REF!</f>
        <v>#REF!</v>
      </c>
      <c r="B9" s="8" t="e">
        <f>Trades!#REF!</f>
        <v>#REF!</v>
      </c>
      <c r="C9" s="8" t="e">
        <f>Trades!#REF!</f>
        <v>#REF!</v>
      </c>
      <c r="D9" s="28" t="e">
        <f>Trades!#REF!*IF(Trades!#REF!="SELL",-1,1)</f>
        <v>#REF!</v>
      </c>
      <c r="E9" s="28" t="e">
        <f>Trades!#REF!</f>
        <v>#REF!</v>
      </c>
      <c r="F9" s="28" t="e">
        <f t="shared" si="0"/>
        <v>#REF!</v>
      </c>
      <c r="G9" s="28" t="e">
        <f t="shared" si="0"/>
        <v>#REF!</v>
      </c>
      <c r="H9" s="28" t="e">
        <f t="shared" si="1"/>
        <v>#REF!</v>
      </c>
      <c r="I9" s="28" t="e">
        <f t="shared" si="1"/>
        <v>#REF!</v>
      </c>
      <c r="J9" s="28" t="e">
        <f t="shared" si="1"/>
        <v>#REF!</v>
      </c>
      <c r="K9" s="28" t="e">
        <f t="shared" si="1"/>
        <v>#REF!</v>
      </c>
      <c r="L9" s="28" t="e">
        <f t="shared" si="1"/>
        <v>#REF!</v>
      </c>
      <c r="M9" s="28" t="e">
        <f t="shared" si="1"/>
        <v>#REF!</v>
      </c>
      <c r="N9" s="28" t="e">
        <f t="shared" si="1"/>
        <v>#REF!</v>
      </c>
    </row>
    <row r="10" spans="1:14" x14ac:dyDescent="0.2">
      <c r="A10" s="8" t="e">
        <f>Trades!#REF!</f>
        <v>#REF!</v>
      </c>
      <c r="B10" s="8" t="e">
        <f>Trades!#REF!</f>
        <v>#REF!</v>
      </c>
      <c r="C10" s="8" t="e">
        <f>Trades!#REF!</f>
        <v>#REF!</v>
      </c>
      <c r="D10" s="28" t="e">
        <f>Trades!#REF!*IF(Trades!#REF!="SELL",-1,1)</f>
        <v>#REF!</v>
      </c>
      <c r="E10" s="28" t="e">
        <f>Trades!#REF!</f>
        <v>#REF!</v>
      </c>
      <c r="F10" s="28" t="e">
        <f t="shared" si="0"/>
        <v>#REF!</v>
      </c>
      <c r="G10" s="28" t="e">
        <f t="shared" si="0"/>
        <v>#REF!</v>
      </c>
      <c r="H10" s="28" t="e">
        <f t="shared" si="1"/>
        <v>#REF!</v>
      </c>
      <c r="I10" s="28" t="e">
        <f t="shared" si="1"/>
        <v>#REF!</v>
      </c>
      <c r="J10" s="28" t="e">
        <f t="shared" si="1"/>
        <v>#REF!</v>
      </c>
      <c r="K10" s="28" t="e">
        <f t="shared" si="1"/>
        <v>#REF!</v>
      </c>
      <c r="L10" s="28" t="e">
        <f t="shared" si="1"/>
        <v>#REF!</v>
      </c>
      <c r="M10" s="28" t="e">
        <f t="shared" si="1"/>
        <v>#REF!</v>
      </c>
      <c r="N10" s="28" t="e">
        <f t="shared" si="1"/>
        <v>#REF!</v>
      </c>
    </row>
    <row r="11" spans="1:14" x14ac:dyDescent="0.2">
      <c r="A11" s="8" t="e">
        <f>Trades!#REF!</f>
        <v>#REF!</v>
      </c>
      <c r="B11" s="8" t="e">
        <f>Trades!#REF!</f>
        <v>#REF!</v>
      </c>
      <c r="C11" s="8" t="e">
        <f>Trades!#REF!</f>
        <v>#REF!</v>
      </c>
      <c r="D11" s="28" t="e">
        <f>Trades!#REF!*IF(Trades!#REF!="SELL",-1,1)</f>
        <v>#REF!</v>
      </c>
      <c r="E11" s="28" t="e">
        <f>Trades!#REF!</f>
        <v>#REF!</v>
      </c>
      <c r="F11" s="28" t="e">
        <f t="shared" si="0"/>
        <v>#REF!</v>
      </c>
      <c r="G11" s="28" t="e">
        <f t="shared" si="0"/>
        <v>#REF!</v>
      </c>
      <c r="H11" s="28" t="e">
        <f t="shared" si="1"/>
        <v>#REF!</v>
      </c>
      <c r="I11" s="28" t="e">
        <f t="shared" si="1"/>
        <v>#REF!</v>
      </c>
      <c r="J11" s="28" t="e">
        <f t="shared" si="1"/>
        <v>#REF!</v>
      </c>
      <c r="K11" s="28" t="e">
        <f t="shared" si="1"/>
        <v>#REF!</v>
      </c>
      <c r="L11" s="28" t="e">
        <f t="shared" si="1"/>
        <v>#REF!</v>
      </c>
      <c r="M11" s="28" t="e">
        <f t="shared" si="1"/>
        <v>#REF!</v>
      </c>
      <c r="N11" s="28" t="e">
        <f t="shared" si="1"/>
        <v>#REF!</v>
      </c>
    </row>
    <row r="12" spans="1:14" x14ac:dyDescent="0.2">
      <c r="A12" s="8" t="e">
        <f>Trades!#REF!</f>
        <v>#REF!</v>
      </c>
      <c r="B12" s="8" t="e">
        <f>Trades!#REF!</f>
        <v>#REF!</v>
      </c>
      <c r="C12" s="8" t="e">
        <f>Trades!#REF!</f>
        <v>#REF!</v>
      </c>
      <c r="D12" s="28" t="e">
        <f>Trades!#REF!*IF(Trades!#REF!="SELL",-1,1)</f>
        <v>#REF!</v>
      </c>
      <c r="E12" s="28" t="e">
        <f>Trades!#REF!</f>
        <v>#REF!</v>
      </c>
      <c r="F12" s="28" t="e">
        <f t="shared" si="0"/>
        <v>#REF!</v>
      </c>
      <c r="G12" s="28" t="e">
        <f t="shared" si="0"/>
        <v>#REF!</v>
      </c>
      <c r="H12" s="28" t="e">
        <f t="shared" si="1"/>
        <v>#REF!</v>
      </c>
      <c r="I12" s="28" t="e">
        <f t="shared" si="1"/>
        <v>#REF!</v>
      </c>
      <c r="J12" s="28" t="e">
        <f t="shared" si="1"/>
        <v>#REF!</v>
      </c>
      <c r="K12" s="28" t="e">
        <f t="shared" si="1"/>
        <v>#REF!</v>
      </c>
      <c r="L12" s="28" t="e">
        <f t="shared" si="1"/>
        <v>#REF!</v>
      </c>
      <c r="M12" s="28" t="e">
        <f t="shared" si="1"/>
        <v>#REF!</v>
      </c>
      <c r="N12" s="28" t="e">
        <f t="shared" si="1"/>
        <v>#REF!</v>
      </c>
    </row>
    <row r="13" spans="1:14" x14ac:dyDescent="0.2">
      <c r="A13" s="8" t="e">
        <f>Trades!#REF!</f>
        <v>#REF!</v>
      </c>
      <c r="B13" s="8" t="e">
        <f>Trades!#REF!</f>
        <v>#REF!</v>
      </c>
      <c r="C13" s="8" t="e">
        <f>Trades!#REF!</f>
        <v>#REF!</v>
      </c>
      <c r="D13" s="28" t="e">
        <f>Trades!#REF!*IF(Trades!#REF!="SELL",-1,1)</f>
        <v>#REF!</v>
      </c>
      <c r="E13" s="28" t="e">
        <f>Trades!#REF!</f>
        <v>#REF!</v>
      </c>
      <c r="F13" s="28" t="e">
        <f t="shared" si="0"/>
        <v>#REF!</v>
      </c>
      <c r="G13" s="28" t="e">
        <f t="shared" si="0"/>
        <v>#REF!</v>
      </c>
      <c r="H13" s="28" t="e">
        <f t="shared" si="1"/>
        <v>#REF!</v>
      </c>
      <c r="I13" s="28" t="e">
        <f t="shared" si="1"/>
        <v>#REF!</v>
      </c>
      <c r="J13" s="28" t="e">
        <f t="shared" si="1"/>
        <v>#REF!</v>
      </c>
      <c r="K13" s="28" t="e">
        <f t="shared" si="1"/>
        <v>#REF!</v>
      </c>
      <c r="L13" s="28" t="e">
        <f t="shared" si="1"/>
        <v>#REF!</v>
      </c>
      <c r="M13" s="28" t="e">
        <f t="shared" si="1"/>
        <v>#REF!</v>
      </c>
      <c r="N13" s="28" t="e">
        <f t="shared" si="1"/>
        <v>#REF!</v>
      </c>
    </row>
    <row r="14" spans="1:14" x14ac:dyDescent="0.2">
      <c r="A14" s="8" t="e">
        <f>Trades!#REF!</f>
        <v>#REF!</v>
      </c>
      <c r="B14" s="8" t="e">
        <f>Trades!#REF!</f>
        <v>#REF!</v>
      </c>
      <c r="C14" s="8" t="e">
        <f>Trades!#REF!</f>
        <v>#REF!</v>
      </c>
      <c r="D14" s="28" t="e">
        <f>Trades!#REF!*IF(Trades!#REF!="SELL",-1,1)</f>
        <v>#REF!</v>
      </c>
      <c r="E14" s="28" t="e">
        <f>Trades!#REF!</f>
        <v>#REF!</v>
      </c>
      <c r="F14" s="28" t="e">
        <f t="shared" si="0"/>
        <v>#REF!</v>
      </c>
      <c r="G14" s="28" t="e">
        <f t="shared" si="0"/>
        <v>#REF!</v>
      </c>
      <c r="H14" s="28" t="e">
        <f t="shared" si="1"/>
        <v>#REF!</v>
      </c>
      <c r="I14" s="28" t="e">
        <f t="shared" si="1"/>
        <v>#REF!</v>
      </c>
      <c r="J14" s="28" t="e">
        <f t="shared" si="1"/>
        <v>#REF!</v>
      </c>
      <c r="K14" s="28" t="e">
        <f t="shared" si="1"/>
        <v>#REF!</v>
      </c>
      <c r="L14" s="28" t="e">
        <f t="shared" si="1"/>
        <v>#REF!</v>
      </c>
      <c r="M14" s="28" t="e">
        <f t="shared" si="1"/>
        <v>#REF!</v>
      </c>
      <c r="N14" s="28" t="e">
        <f t="shared" si="1"/>
        <v>#REF!</v>
      </c>
    </row>
    <row r="15" spans="1:14" x14ac:dyDescent="0.2">
      <c r="A15" s="8" t="e">
        <f>Trades!#REF!</f>
        <v>#REF!</v>
      </c>
      <c r="B15" s="8" t="e">
        <f>Trades!#REF!</f>
        <v>#REF!</v>
      </c>
      <c r="C15" s="8" t="e">
        <f>Trades!#REF!</f>
        <v>#REF!</v>
      </c>
      <c r="D15" s="28" t="e">
        <f>Trades!#REF!*IF(Trades!#REF!="SELL",-1,1)</f>
        <v>#REF!</v>
      </c>
      <c r="E15" s="28" t="e">
        <f>Trades!#REF!</f>
        <v>#REF!</v>
      </c>
      <c r="F15" s="28" t="e">
        <f t="shared" si="0"/>
        <v>#REF!</v>
      </c>
      <c r="G15" s="28" t="e">
        <f t="shared" si="0"/>
        <v>#REF!</v>
      </c>
      <c r="H15" s="28" t="e">
        <f t="shared" si="1"/>
        <v>#REF!</v>
      </c>
      <c r="I15" s="28" t="e">
        <f t="shared" si="1"/>
        <v>#REF!</v>
      </c>
      <c r="J15" s="28" t="e">
        <f t="shared" si="1"/>
        <v>#REF!</v>
      </c>
      <c r="K15" s="28" t="e">
        <f t="shared" si="1"/>
        <v>#REF!</v>
      </c>
      <c r="L15" s="28" t="e">
        <f t="shared" si="1"/>
        <v>#REF!</v>
      </c>
      <c r="M15" s="28" t="e">
        <f t="shared" si="1"/>
        <v>#REF!</v>
      </c>
      <c r="N15" s="28" t="e">
        <f t="shared" si="1"/>
        <v>#REF!</v>
      </c>
    </row>
    <row r="16" spans="1:14" x14ac:dyDescent="0.2">
      <c r="A16" s="8" t="e">
        <f>Trades!#REF!</f>
        <v>#REF!</v>
      </c>
      <c r="B16" s="8" t="e">
        <f>Trades!#REF!</f>
        <v>#REF!</v>
      </c>
      <c r="C16" s="8" t="e">
        <f>Trades!#REF!</f>
        <v>#REF!</v>
      </c>
      <c r="D16" s="28" t="e">
        <f>Trades!#REF!*IF(Trades!#REF!="SELL",-1,1)</f>
        <v>#REF!</v>
      </c>
      <c r="E16" s="28" t="e">
        <f>Trades!#REF!</f>
        <v>#REF!</v>
      </c>
      <c r="F16" s="28" t="e">
        <f t="shared" si="0"/>
        <v>#REF!</v>
      </c>
      <c r="G16" s="28" t="e">
        <f t="shared" si="0"/>
        <v>#REF!</v>
      </c>
      <c r="H16" s="28" t="e">
        <f t="shared" si="1"/>
        <v>#REF!</v>
      </c>
      <c r="I16" s="28" t="e">
        <f t="shared" si="1"/>
        <v>#REF!</v>
      </c>
      <c r="J16" s="28" t="e">
        <f t="shared" si="1"/>
        <v>#REF!</v>
      </c>
      <c r="K16" s="28" t="e">
        <f t="shared" si="1"/>
        <v>#REF!</v>
      </c>
      <c r="L16" s="28" t="e">
        <f t="shared" si="1"/>
        <v>#REF!</v>
      </c>
      <c r="M16" s="28" t="e">
        <f t="shared" si="1"/>
        <v>#REF!</v>
      </c>
      <c r="N16" s="28" t="e">
        <f t="shared" si="1"/>
        <v>#REF!</v>
      </c>
    </row>
    <row r="17" spans="1:14" x14ac:dyDescent="0.2">
      <c r="A17" s="8" t="e">
        <f>Trades!#REF!</f>
        <v>#REF!</v>
      </c>
      <c r="B17" s="8" t="e">
        <f>Trades!#REF!</f>
        <v>#REF!</v>
      </c>
      <c r="C17" s="8" t="e">
        <f>Trades!#REF!</f>
        <v>#REF!</v>
      </c>
      <c r="D17" s="28" t="e">
        <f>Trades!#REF!*IF(Trades!#REF!="SELL",-1,1)</f>
        <v>#REF!</v>
      </c>
      <c r="E17" s="28" t="e">
        <f>Trades!#REF!</f>
        <v>#REF!</v>
      </c>
      <c r="F17" s="28" t="e">
        <f t="shared" si="0"/>
        <v>#REF!</v>
      </c>
      <c r="G17" s="28" t="e">
        <f t="shared" si="0"/>
        <v>#REF!</v>
      </c>
      <c r="H17" s="28" t="e">
        <f t="shared" si="1"/>
        <v>#REF!</v>
      </c>
      <c r="I17" s="28" t="e">
        <f t="shared" si="1"/>
        <v>#REF!</v>
      </c>
      <c r="J17" s="28" t="e">
        <f t="shared" si="1"/>
        <v>#REF!</v>
      </c>
      <c r="K17" s="28" t="e">
        <f t="shared" si="1"/>
        <v>#REF!</v>
      </c>
      <c r="L17" s="28" t="e">
        <f t="shared" si="1"/>
        <v>#REF!</v>
      </c>
      <c r="M17" s="28" t="e">
        <f t="shared" si="1"/>
        <v>#REF!</v>
      </c>
      <c r="N17" s="28" t="e">
        <f t="shared" si="1"/>
        <v>#REF!</v>
      </c>
    </row>
    <row r="18" spans="1:14" x14ac:dyDescent="0.2">
      <c r="A18" s="8" t="e">
        <f>Trades!#REF!</f>
        <v>#REF!</v>
      </c>
      <c r="B18" s="8" t="e">
        <f>Trades!#REF!</f>
        <v>#REF!</v>
      </c>
      <c r="C18" s="8" t="e">
        <f>Trades!#REF!</f>
        <v>#REF!</v>
      </c>
      <c r="D18" s="28" t="e">
        <f>Trades!#REF!*IF(Trades!#REF!="SELL",-1,1)</f>
        <v>#REF!</v>
      </c>
      <c r="E18" s="28" t="e">
        <f>Trades!#REF!</f>
        <v>#REF!</v>
      </c>
      <c r="F18" s="28" t="e">
        <f t="shared" si="0"/>
        <v>#REF!</v>
      </c>
      <c r="G18" s="28" t="e">
        <f t="shared" si="0"/>
        <v>#REF!</v>
      </c>
      <c r="H18" s="28" t="e">
        <f t="shared" si="1"/>
        <v>#REF!</v>
      </c>
      <c r="I18" s="28" t="e">
        <f t="shared" si="1"/>
        <v>#REF!</v>
      </c>
      <c r="J18" s="28" t="e">
        <f t="shared" si="1"/>
        <v>#REF!</v>
      </c>
      <c r="K18" s="28" t="e">
        <f t="shared" si="1"/>
        <v>#REF!</v>
      </c>
      <c r="L18" s="28" t="e">
        <f t="shared" si="1"/>
        <v>#REF!</v>
      </c>
      <c r="M18" s="28" t="e">
        <f t="shared" si="1"/>
        <v>#REF!</v>
      </c>
      <c r="N18" s="28" t="e">
        <f t="shared" si="1"/>
        <v>#REF!</v>
      </c>
    </row>
    <row r="19" spans="1:14" x14ac:dyDescent="0.2">
      <c r="A19" s="8" t="e">
        <f>Trades!#REF!</f>
        <v>#REF!</v>
      </c>
      <c r="B19" s="8" t="e">
        <f>Trades!#REF!</f>
        <v>#REF!</v>
      </c>
      <c r="C19" s="8" t="e">
        <f>Trades!#REF!</f>
        <v>#REF!</v>
      </c>
      <c r="D19" s="28" t="e">
        <f>Trades!#REF!*IF(Trades!#REF!="SELL",-1,1)</f>
        <v>#REF!</v>
      </c>
      <c r="E19" s="28" t="e">
        <f>Trades!#REF!</f>
        <v>#REF!</v>
      </c>
      <c r="F19" s="28" t="e">
        <f t="shared" si="0"/>
        <v>#REF!</v>
      </c>
      <c r="G19" s="28" t="e">
        <f t="shared" si="0"/>
        <v>#REF!</v>
      </c>
      <c r="H19" s="28" t="e">
        <f t="shared" si="0"/>
        <v>#REF!</v>
      </c>
      <c r="I19" s="28" t="e">
        <f t="shared" si="0"/>
        <v>#REF!</v>
      </c>
      <c r="J19" s="28" t="e">
        <f t="shared" si="0"/>
        <v>#REF!</v>
      </c>
      <c r="K19" s="28" t="e">
        <f t="shared" si="0"/>
        <v>#REF!</v>
      </c>
      <c r="L19" s="28" t="e">
        <f t="shared" si="0"/>
        <v>#REF!</v>
      </c>
      <c r="M19" s="28" t="e">
        <f t="shared" si="0"/>
        <v>#REF!</v>
      </c>
      <c r="N19" s="28" t="e">
        <f t="shared" si="0"/>
        <v>#REF!</v>
      </c>
    </row>
    <row r="20" spans="1:14" x14ac:dyDescent="0.2">
      <c r="A20" s="8" t="e">
        <f>Trades!#REF!</f>
        <v>#REF!</v>
      </c>
      <c r="B20" s="8" t="e">
        <f>Trades!#REF!</f>
        <v>#REF!</v>
      </c>
      <c r="C20" s="8" t="e">
        <f>Trades!#REF!</f>
        <v>#REF!</v>
      </c>
      <c r="D20" s="28" t="e">
        <f>Trades!#REF!*IF(Trades!#REF!="SELL",-1,1)</f>
        <v>#REF!</v>
      </c>
      <c r="E20" s="28" t="e">
        <f>Trades!#REF!</f>
        <v>#REF!</v>
      </c>
      <c r="F20" s="28" t="e">
        <f t="shared" si="0"/>
        <v>#REF!</v>
      </c>
      <c r="G20" s="28" t="e">
        <f t="shared" si="0"/>
        <v>#REF!</v>
      </c>
      <c r="H20" s="28" t="e">
        <f t="shared" si="0"/>
        <v>#REF!</v>
      </c>
      <c r="I20" s="28" t="e">
        <f t="shared" si="0"/>
        <v>#REF!</v>
      </c>
      <c r="J20" s="28" t="e">
        <f t="shared" si="0"/>
        <v>#REF!</v>
      </c>
      <c r="K20" s="28" t="e">
        <f t="shared" si="0"/>
        <v>#REF!</v>
      </c>
      <c r="L20" s="28" t="e">
        <f t="shared" si="0"/>
        <v>#REF!</v>
      </c>
      <c r="M20" s="28" t="e">
        <f t="shared" si="0"/>
        <v>#REF!</v>
      </c>
      <c r="N20" s="28" t="e">
        <f t="shared" si="0"/>
        <v>#REF!</v>
      </c>
    </row>
    <row r="21" spans="1:14" x14ac:dyDescent="0.2">
      <c r="A21" s="8" t="e">
        <f>Trades!#REF!</f>
        <v>#REF!</v>
      </c>
      <c r="B21" s="8" t="e">
        <f>Trades!#REF!</f>
        <v>#REF!</v>
      </c>
      <c r="C21" s="8" t="e">
        <f>Trades!#REF!</f>
        <v>#REF!</v>
      </c>
      <c r="D21" s="28" t="e">
        <f>Trades!#REF!*IF(Trades!#REF!="SELL",-1,1)</f>
        <v>#REF!</v>
      </c>
      <c r="E21" s="28" t="e">
        <f>Trades!#REF!</f>
        <v>#REF!</v>
      </c>
      <c r="F21" s="28" t="e">
        <f t="shared" si="0"/>
        <v>#REF!</v>
      </c>
      <c r="G21" s="28" t="e">
        <f t="shared" si="0"/>
        <v>#REF!</v>
      </c>
      <c r="H21" s="28" t="e">
        <f t="shared" si="0"/>
        <v>#REF!</v>
      </c>
      <c r="I21" s="28" t="e">
        <f t="shared" si="0"/>
        <v>#REF!</v>
      </c>
      <c r="J21" s="28" t="e">
        <f t="shared" si="0"/>
        <v>#REF!</v>
      </c>
      <c r="K21" s="28" t="e">
        <f t="shared" si="0"/>
        <v>#REF!</v>
      </c>
      <c r="L21" s="28" t="e">
        <f t="shared" si="0"/>
        <v>#REF!</v>
      </c>
      <c r="M21" s="28" t="e">
        <f t="shared" si="0"/>
        <v>#REF!</v>
      </c>
      <c r="N21" s="28" t="e">
        <f t="shared" si="0"/>
        <v>#REF!</v>
      </c>
    </row>
    <row r="22" spans="1:14" x14ac:dyDescent="0.2">
      <c r="A22" s="8" t="e">
        <f>Trades!#REF!</f>
        <v>#REF!</v>
      </c>
      <c r="B22" s="8" t="e">
        <f>Trades!#REF!</f>
        <v>#REF!</v>
      </c>
      <c r="C22" s="8" t="e">
        <f>Trades!#REF!</f>
        <v>#REF!</v>
      </c>
      <c r="D22" s="28" t="e">
        <f>Trades!#REF!*IF(Trades!#REF!="SELL",-1,1)</f>
        <v>#REF!</v>
      </c>
      <c r="E22" s="28" t="e">
        <f>Trades!#REF!</f>
        <v>#REF!</v>
      </c>
      <c r="F22" s="28" t="e">
        <f t="shared" si="0"/>
        <v>#REF!</v>
      </c>
      <c r="G22" s="28" t="e">
        <f t="shared" si="0"/>
        <v>#REF!</v>
      </c>
      <c r="H22" s="28" t="e">
        <f t="shared" si="0"/>
        <v>#REF!</v>
      </c>
      <c r="I22" s="28" t="e">
        <f t="shared" si="0"/>
        <v>#REF!</v>
      </c>
      <c r="J22" s="28" t="e">
        <f t="shared" si="0"/>
        <v>#REF!</v>
      </c>
      <c r="K22" s="28" t="e">
        <f t="shared" si="0"/>
        <v>#REF!</v>
      </c>
      <c r="L22" s="28" t="e">
        <f t="shared" si="0"/>
        <v>#REF!</v>
      </c>
      <c r="M22" s="28" t="e">
        <f t="shared" si="0"/>
        <v>#REF!</v>
      </c>
      <c r="N22" s="28" t="e">
        <f t="shared" si="0"/>
        <v>#REF!</v>
      </c>
    </row>
    <row r="23" spans="1:14" x14ac:dyDescent="0.2">
      <c r="A23" s="8" t="e">
        <f>Trades!#REF!</f>
        <v>#REF!</v>
      </c>
      <c r="B23" s="8" t="e">
        <f>Trades!#REF!</f>
        <v>#REF!</v>
      </c>
      <c r="C23" s="8" t="e">
        <f>Trades!#REF!</f>
        <v>#REF!</v>
      </c>
      <c r="D23" s="28" t="e">
        <f>Trades!#REF!*IF(Trades!#REF!="SELL",-1,1)</f>
        <v>#REF!</v>
      </c>
      <c r="E23" s="28" t="e">
        <f>Trades!#REF!</f>
        <v>#REF!</v>
      </c>
      <c r="F23" s="28" t="e">
        <f t="shared" si="0"/>
        <v>#REF!</v>
      </c>
      <c r="G23" s="28" t="e">
        <f t="shared" si="0"/>
        <v>#REF!</v>
      </c>
      <c r="H23" s="28" t="e">
        <f t="shared" si="0"/>
        <v>#REF!</v>
      </c>
      <c r="I23" s="28" t="e">
        <f t="shared" si="0"/>
        <v>#REF!</v>
      </c>
      <c r="J23" s="28" t="e">
        <f t="shared" si="0"/>
        <v>#REF!</v>
      </c>
      <c r="K23" s="28" t="e">
        <f t="shared" si="0"/>
        <v>#REF!</v>
      </c>
      <c r="L23" s="28" t="e">
        <f t="shared" si="0"/>
        <v>#REF!</v>
      </c>
      <c r="M23" s="28" t="e">
        <f t="shared" si="0"/>
        <v>#REF!</v>
      </c>
      <c r="N23" s="28" t="e">
        <f t="shared" si="0"/>
        <v>#REF!</v>
      </c>
    </row>
    <row r="24" spans="1:14" x14ac:dyDescent="0.2">
      <c r="A24" s="8" t="e">
        <f>Trades!#REF!</f>
        <v>#REF!</v>
      </c>
      <c r="B24" s="8" t="e">
        <f>Trades!#REF!</f>
        <v>#REF!</v>
      </c>
      <c r="C24" s="8" t="e">
        <f>Trades!#REF!</f>
        <v>#REF!</v>
      </c>
      <c r="D24" s="28" t="e">
        <f>Trades!#REF!*IF(Trades!#REF!="SELL",-1,1)</f>
        <v>#REF!</v>
      </c>
      <c r="E24" s="28" t="e">
        <f>Trades!#REF!</f>
        <v>#REF!</v>
      </c>
      <c r="F24" s="28" t="e">
        <f t="shared" si="0"/>
        <v>#REF!</v>
      </c>
      <c r="G24" s="28" t="e">
        <f t="shared" si="0"/>
        <v>#REF!</v>
      </c>
      <c r="H24" s="28" t="e">
        <f t="shared" si="0"/>
        <v>#REF!</v>
      </c>
      <c r="I24" s="28" t="e">
        <f t="shared" si="0"/>
        <v>#REF!</v>
      </c>
      <c r="J24" s="28" t="e">
        <f t="shared" si="0"/>
        <v>#REF!</v>
      </c>
      <c r="K24" s="28" t="e">
        <f t="shared" si="0"/>
        <v>#REF!</v>
      </c>
      <c r="L24" s="28" t="e">
        <f t="shared" si="0"/>
        <v>#REF!</v>
      </c>
      <c r="M24" s="28" t="e">
        <f t="shared" si="0"/>
        <v>#REF!</v>
      </c>
      <c r="N24" s="28" t="e">
        <f t="shared" si="0"/>
        <v>#REF!</v>
      </c>
    </row>
    <row r="25" spans="1:14" x14ac:dyDescent="0.2">
      <c r="A25" s="8" t="e">
        <f>Trades!#REF!</f>
        <v>#REF!</v>
      </c>
      <c r="B25" s="8" t="e">
        <f>Trades!#REF!</f>
        <v>#REF!</v>
      </c>
      <c r="C25" s="8" t="e">
        <f>Trades!#REF!</f>
        <v>#REF!</v>
      </c>
      <c r="D25" s="28" t="e">
        <f>Trades!#REF!*IF(Trades!#REF!="SELL",-1,1)</f>
        <v>#REF!</v>
      </c>
      <c r="E25" s="28" t="e">
        <f>Trades!#REF!</f>
        <v>#REF!</v>
      </c>
      <c r="F25" s="28" t="e">
        <f t="shared" si="0"/>
        <v>#REF!</v>
      </c>
      <c r="G25" s="28" t="e">
        <f t="shared" si="0"/>
        <v>#REF!</v>
      </c>
      <c r="H25" s="28" t="e">
        <f t="shared" si="0"/>
        <v>#REF!</v>
      </c>
      <c r="I25" s="28" t="e">
        <f t="shared" si="0"/>
        <v>#REF!</v>
      </c>
      <c r="J25" s="28" t="e">
        <f t="shared" si="0"/>
        <v>#REF!</v>
      </c>
      <c r="K25" s="28" t="e">
        <f t="shared" si="0"/>
        <v>#REF!</v>
      </c>
      <c r="L25" s="28" t="e">
        <f t="shared" si="0"/>
        <v>#REF!</v>
      </c>
      <c r="M25" s="28" t="e">
        <f t="shared" si="0"/>
        <v>#REF!</v>
      </c>
      <c r="N25" s="28" t="e">
        <f t="shared" si="0"/>
        <v>#REF!</v>
      </c>
    </row>
    <row r="26" spans="1:14" x14ac:dyDescent="0.2">
      <c r="A26" s="8" t="e">
        <f>Trades!#REF!</f>
        <v>#REF!</v>
      </c>
      <c r="B26" s="8" t="e">
        <f>Trades!#REF!</f>
        <v>#REF!</v>
      </c>
      <c r="C26" s="8" t="e">
        <f>Trades!#REF!</f>
        <v>#REF!</v>
      </c>
      <c r="D26" s="28" t="e">
        <f>Trades!#REF!*IF(Trades!#REF!="SELL",-1,1)</f>
        <v>#REF!</v>
      </c>
      <c r="E26" s="28" t="e">
        <f>Trades!#REF!</f>
        <v>#REF!</v>
      </c>
      <c r="F26" s="28" t="e">
        <f t="shared" si="0"/>
        <v>#REF!</v>
      </c>
      <c r="G26" s="28" t="e">
        <f t="shared" si="0"/>
        <v>#REF!</v>
      </c>
      <c r="H26" s="28" t="e">
        <f t="shared" si="0"/>
        <v>#REF!</v>
      </c>
      <c r="I26" s="28" t="e">
        <f t="shared" si="0"/>
        <v>#REF!</v>
      </c>
      <c r="J26" s="28" t="e">
        <f t="shared" si="0"/>
        <v>#REF!</v>
      </c>
      <c r="K26" s="28" t="e">
        <f t="shared" si="0"/>
        <v>#REF!</v>
      </c>
      <c r="L26" s="28" t="e">
        <f t="shared" si="0"/>
        <v>#REF!</v>
      </c>
      <c r="M26" s="28" t="e">
        <f t="shared" si="0"/>
        <v>#REF!</v>
      </c>
      <c r="N26" s="28" t="e">
        <f t="shared" si="0"/>
        <v>#REF!</v>
      </c>
    </row>
  </sheetData>
  <autoFilter ref="A2:M26"/>
  <mergeCells count="1">
    <mergeCell ref="A1:N1"/>
  </mergeCells>
  <conditionalFormatting sqref="A1 O1:XFD1 A2:XFD1048576">
    <cfRule type="expression" dxfId="21" priority="2">
      <formula>MOD(ROW(),2)=1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PlaceOrders">
                <anchor>
                  <from>
                    <xdr:col>1</xdr:col>
                    <xdr:colOff>495300</xdr:colOff>
                    <xdr:row>0</xdr:row>
                    <xdr:rowOff>66675</xdr:rowOff>
                  </from>
                  <to>
                    <xdr:col>3</xdr:col>
                    <xdr:colOff>257175</xdr:colOff>
                    <xdr:row>0</xdr:row>
                    <xdr:rowOff>409575</xdr:rowOff>
                  </to>
                </anchor>
              </controlPr>
            </control>
          </mc:Choice>
        </mc:AlternateContent>
        <mc:AlternateContent xmlns:mc="http://schemas.openxmlformats.org/markup-compatibility/2006">
          <mc:Choice Requires="x14">
            <control shapeId="16386" r:id="rId4" name="Button 2">
              <controlPr defaultSize="0" print="0" autoFill="0" autoPict="0" macro="[0]!UpdateRanges">
                <anchor>
                  <from>
                    <xdr:col>0</xdr:col>
                    <xdr:colOff>19050</xdr:colOff>
                    <xdr:row>0</xdr:row>
                    <xdr:rowOff>66675</xdr:rowOff>
                  </from>
                  <to>
                    <xdr:col>1</xdr:col>
                    <xdr:colOff>419100</xdr:colOff>
                    <xdr:row>0</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U2"/>
  <sheetViews>
    <sheetView zoomScaleNormal="100" workbookViewId="0">
      <pane ySplit="2" topLeftCell="A3" activePane="bottomLeft" state="frozen"/>
      <selection pane="bottomLeft" sqref="A1:U1"/>
    </sheetView>
  </sheetViews>
  <sheetFormatPr defaultColWidth="8.5703125" defaultRowHeight="12.75" x14ac:dyDescent="0.2"/>
  <cols>
    <col min="1" max="1" width="38.5703125" style="12" bestFit="1" customWidth="1"/>
    <col min="2" max="2" width="14.5703125" style="11" bestFit="1" customWidth="1"/>
    <col min="3" max="4" width="13.7109375" style="11" bestFit="1" customWidth="1"/>
    <col min="5" max="6" width="19" style="26" bestFit="1" customWidth="1"/>
    <col min="7" max="7" width="10" style="13" bestFit="1" customWidth="1"/>
    <col min="8" max="8" width="13.7109375" style="14" bestFit="1" customWidth="1"/>
    <col min="9" max="9" width="14.7109375" style="14" bestFit="1" customWidth="1"/>
    <col min="10" max="10" width="16.5703125" style="14" bestFit="1" customWidth="1"/>
    <col min="11" max="11" width="14.85546875" style="14" bestFit="1" customWidth="1"/>
    <col min="12" max="12" width="13.7109375" style="14" bestFit="1" customWidth="1"/>
    <col min="13" max="13" width="14.28515625" style="14" bestFit="1" customWidth="1"/>
    <col min="14" max="14" width="14.7109375" style="14" bestFit="1" customWidth="1"/>
    <col min="15" max="15" width="15.28515625" style="14" bestFit="1" customWidth="1"/>
    <col min="16" max="16" width="16.7109375" style="14" bestFit="1" customWidth="1"/>
    <col min="17" max="17" width="17" style="14" bestFit="1" customWidth="1"/>
    <col min="18" max="18" width="26.28515625" style="14" bestFit="1" customWidth="1"/>
    <col min="19" max="19" width="21" style="14" bestFit="1" customWidth="1"/>
    <col min="20" max="20" width="10.7109375" style="30" bestFit="1" customWidth="1"/>
    <col min="21" max="21" width="10.5703125" style="30" bestFit="1" customWidth="1"/>
    <col min="22" max="16384" width="8.5703125" style="10"/>
  </cols>
  <sheetData>
    <row r="1" spans="1:21" ht="37.5" customHeight="1" x14ac:dyDescent="0.2">
      <c r="A1" s="154"/>
      <c r="B1" s="154"/>
      <c r="C1" s="154"/>
      <c r="D1" s="154"/>
      <c r="E1" s="154"/>
      <c r="F1" s="154"/>
      <c r="G1" s="154"/>
      <c r="H1" s="154"/>
      <c r="I1" s="154"/>
      <c r="J1" s="154"/>
      <c r="K1" s="154"/>
      <c r="L1" s="154"/>
      <c r="M1" s="154"/>
      <c r="N1" s="154"/>
      <c r="O1" s="156"/>
      <c r="P1" s="154"/>
      <c r="Q1" s="154"/>
      <c r="R1" s="154"/>
      <c r="S1" s="154"/>
      <c r="T1" s="154"/>
      <c r="U1" s="154"/>
    </row>
    <row r="2" spans="1:21" s="40" customFormat="1" ht="30" customHeight="1" x14ac:dyDescent="0.2">
      <c r="A2" s="35" t="s">
        <v>236</v>
      </c>
      <c r="B2" s="37" t="s">
        <v>231</v>
      </c>
      <c r="C2" s="37" t="s">
        <v>191</v>
      </c>
      <c r="D2" s="37" t="s">
        <v>190</v>
      </c>
      <c r="E2" s="36" t="s">
        <v>192</v>
      </c>
      <c r="F2" s="36" t="s">
        <v>246</v>
      </c>
      <c r="G2" s="35" t="s">
        <v>226</v>
      </c>
      <c r="H2" s="39" t="s">
        <v>18</v>
      </c>
      <c r="I2" s="39" t="s">
        <v>234</v>
      </c>
      <c r="J2" s="39" t="s">
        <v>189</v>
      </c>
      <c r="K2" s="39" t="s">
        <v>670</v>
      </c>
      <c r="L2" s="39" t="s">
        <v>5</v>
      </c>
      <c r="M2" s="39" t="s">
        <v>214</v>
      </c>
      <c r="N2" s="39" t="s">
        <v>2</v>
      </c>
      <c r="O2" s="39" t="s">
        <v>227</v>
      </c>
      <c r="P2" s="39" t="s">
        <v>242</v>
      </c>
      <c r="Q2" s="39" t="s">
        <v>243</v>
      </c>
      <c r="R2" s="39" t="s">
        <v>244</v>
      </c>
      <c r="S2" s="39" t="s">
        <v>245</v>
      </c>
      <c r="T2" s="39" t="s">
        <v>222</v>
      </c>
      <c r="U2" s="39" t="s">
        <v>223</v>
      </c>
    </row>
  </sheetData>
  <autoFilter ref="A2:U2">
    <sortState ref="A2:U3">
      <sortCondition descending="1" ref="F2"/>
    </sortState>
  </autoFilter>
  <dataConsolidate/>
  <mergeCells count="1">
    <mergeCell ref="A1:U1"/>
  </mergeCells>
  <conditionalFormatting sqref="A1 V1:XFD1048576 A2:U1048576">
    <cfRule type="expression" dxfId="20" priority="8">
      <formula>MOD(ROW(),2)=1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Trades.ResetCapitalGains">
                <anchor>
                  <from>
                    <xdr:col>0</xdr:col>
                    <xdr:colOff>1504950</xdr:colOff>
                    <xdr:row>0</xdr:row>
                    <xdr:rowOff>66675</xdr:rowOff>
                  </from>
                  <to>
                    <xdr:col>1</xdr:col>
                    <xdr:colOff>323850</xdr:colOff>
                    <xdr:row>0</xdr:row>
                    <xdr:rowOff>409575</xdr:rowOff>
                  </to>
                </anchor>
              </controlPr>
            </control>
          </mc:Choice>
        </mc:AlternateContent>
        <mc:AlternateContent xmlns:mc="http://schemas.openxmlformats.org/markup-compatibility/2006">
          <mc:Choice Requires="x14">
            <control shapeId="50178" r:id="rId5" name="Button 2">
              <controlPr defaultSize="0" print="0" autoFill="0" autoPict="0" macro="[0]!Trades.CalculateCapitalGains">
                <anchor>
                  <from>
                    <xdr:col>1</xdr:col>
                    <xdr:colOff>438150</xdr:colOff>
                    <xdr:row>0</xdr:row>
                    <xdr:rowOff>66675</xdr:rowOff>
                  </from>
                  <to>
                    <xdr:col>3</xdr:col>
                    <xdr:colOff>571500</xdr:colOff>
                    <xdr:row>0</xdr:row>
                    <xdr:rowOff>409575</xdr:rowOff>
                  </to>
                </anchor>
              </controlPr>
            </control>
          </mc:Choice>
        </mc:AlternateContent>
        <mc:AlternateContent xmlns:mc="http://schemas.openxmlformats.org/markup-compatibility/2006">
          <mc:Choice Requires="x14">
            <control shapeId="50179" r:id="rId6" name="Button 3">
              <controlPr defaultSize="0" print="0" autoFill="0" autoPict="0" macro="[0]!UpdateTradesSheet">
                <anchor>
                  <from>
                    <xdr:col>0</xdr:col>
                    <xdr:colOff>19050</xdr:colOff>
                    <xdr:row>0</xdr:row>
                    <xdr:rowOff>66675</xdr:rowOff>
                  </from>
                  <to>
                    <xdr:col>0</xdr:col>
                    <xdr:colOff>1390650</xdr:colOff>
                    <xdr:row>0</xdr:row>
                    <xdr:rowOff>409575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G2"/>
  <sheetViews>
    <sheetView zoomScale="130" zoomScaleNormal="130" workbookViewId="0">
      <pane ySplit="2" topLeftCell="A3" activePane="bottomLeft" state="frozen"/>
      <selection pane="bottomLeft" sqref="A1:G1"/>
    </sheetView>
  </sheetViews>
  <sheetFormatPr defaultColWidth="12.140625" defaultRowHeight="12.75" x14ac:dyDescent="0.2"/>
  <cols>
    <col min="1" max="2" width="33.140625" style="12" bestFit="1" customWidth="1"/>
    <col min="3" max="3" width="13.7109375" style="12" bestFit="1" customWidth="1"/>
    <col min="4" max="4" width="15.42578125" style="128" bestFit="1" customWidth="1"/>
    <col min="5" max="5" width="11.85546875" style="128" bestFit="1" customWidth="1"/>
    <col min="6" max="6" width="20.85546875" style="27" bestFit="1" customWidth="1"/>
    <col min="7" max="7" width="19" style="27" bestFit="1" customWidth="1"/>
    <col min="8" max="16384" width="12.140625" style="10"/>
  </cols>
  <sheetData>
    <row r="1" spans="1:7" ht="37.5" customHeight="1" x14ac:dyDescent="0.2">
      <c r="A1" s="157"/>
      <c r="B1" s="157"/>
      <c r="C1" s="157"/>
      <c r="D1" s="157"/>
      <c r="E1" s="157"/>
      <c r="F1" s="157"/>
      <c r="G1" s="157"/>
    </row>
    <row r="2" spans="1:7" s="40" customFormat="1" ht="30" customHeight="1" x14ac:dyDescent="0.2">
      <c r="A2" s="35" t="s">
        <v>1169</v>
      </c>
      <c r="B2" s="35" t="s">
        <v>1170</v>
      </c>
      <c r="C2" s="35" t="s">
        <v>25</v>
      </c>
      <c r="D2" s="87" t="s">
        <v>18</v>
      </c>
      <c r="E2" s="87" t="s">
        <v>1168</v>
      </c>
      <c r="F2" s="35" t="s">
        <v>1171</v>
      </c>
      <c r="G2" s="35" t="s">
        <v>1172</v>
      </c>
    </row>
  </sheetData>
  <autoFilter ref="A2:G2">
    <sortState ref="A2:G2">
      <sortCondition descending="1" ref="G2"/>
    </sortState>
  </autoFilter>
  <mergeCells count="1">
    <mergeCell ref="A1:G1"/>
  </mergeCells>
  <conditionalFormatting sqref="A1 H1:XFD1 A2:XFD1048576">
    <cfRule type="expression" dxfId="19" priority="8">
      <formula>MOD(ROW(),2)=1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UpdateTransfersSheet">
                <anchor>
                  <from>
                    <xdr:col>0</xdr:col>
                    <xdr:colOff>0</xdr:colOff>
                    <xdr:row>0</xdr:row>
                    <xdr:rowOff>66675</xdr:rowOff>
                  </from>
                  <to>
                    <xdr:col>0</xdr:col>
                    <xdr:colOff>1371600</xdr:colOff>
                    <xdr:row>0</xdr:row>
                    <xdr:rowOff>409575</xdr:rowOff>
                  </to>
                </anchor>
              </controlPr>
            </control>
          </mc:Choice>
        </mc:AlternateContent>
        <mc:AlternateContent xmlns:mc="http://schemas.openxmlformats.org/markup-compatibility/2006">
          <mc:Choice Requires="x14">
            <control shapeId="21506" r:id="rId5" name="Button 2">
              <controlPr defaultSize="0" print="0" autoFill="0" autoPict="0" macro="[0]!CreateIntraTrade">
                <anchor>
                  <from>
                    <xdr:col>0</xdr:col>
                    <xdr:colOff>1476375</xdr:colOff>
                    <xdr:row>0</xdr:row>
                    <xdr:rowOff>66675</xdr:rowOff>
                  </from>
                  <to>
                    <xdr:col>1</xdr:col>
                    <xdr:colOff>1028700</xdr:colOff>
                    <xdr:row>0</xdr:row>
                    <xdr:rowOff>409575</xdr:rowOff>
                  </to>
                </anchor>
              </controlPr>
            </control>
          </mc:Choice>
        </mc:AlternateContent>
        <mc:AlternateContent xmlns:mc="http://schemas.openxmlformats.org/markup-compatibility/2006">
          <mc:Choice Requires="x14">
            <control shapeId="21507" r:id="rId6" name="Button 3">
              <controlPr defaultSize="0" print="0" autoFill="0" autoPict="0" macro="[0]!CreateInternalTrade">
                <anchor>
                  <from>
                    <xdr:col>1</xdr:col>
                    <xdr:colOff>1114425</xdr:colOff>
                    <xdr:row>0</xdr:row>
                    <xdr:rowOff>66675</xdr:rowOff>
                  </from>
                  <to>
                    <xdr:col>2</xdr:col>
                    <xdr:colOff>723900</xdr:colOff>
                    <xdr:row>0</xdr:row>
                    <xdr:rowOff>409575</xdr:rowOff>
                  </to>
                </anchor>
              </controlPr>
            </control>
          </mc:Choice>
        </mc:AlternateContent>
        <mc:AlternateContent xmlns:mc="http://schemas.openxmlformats.org/markup-compatibility/2006">
          <mc:Choice Requires="x14">
            <control shapeId="21508" r:id="rId7" name="Button 4">
              <controlPr defaultSize="0" print="0" autoFill="0" autoPict="0" macro="[0]!CreateExternalTrade">
                <anchor>
                  <from>
                    <xdr:col>2</xdr:col>
                    <xdr:colOff>790575</xdr:colOff>
                    <xdr:row>0</xdr:row>
                    <xdr:rowOff>66675</xdr:rowOff>
                  </from>
                  <to>
                    <xdr:col>4</xdr:col>
                    <xdr:colOff>666750</xdr:colOff>
                    <xdr:row>0</xdr:row>
                    <xdr:rowOff>409575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21"/>
  <sheetViews>
    <sheetView zoomScale="145" zoomScaleNormal="145" workbookViewId="0"/>
  </sheetViews>
  <sheetFormatPr defaultColWidth="9.42578125" defaultRowHeight="12.75" x14ac:dyDescent="0.2"/>
  <cols>
    <col min="1" max="1" width="10" customWidth="1"/>
    <col min="2" max="2" width="14.5703125" customWidth="1"/>
    <col min="3" max="4" width="15" bestFit="1" customWidth="1"/>
    <col min="5" max="5" width="9.85546875" customWidth="1"/>
    <col min="6" max="6" width="14.5703125" customWidth="1"/>
    <col min="7" max="7" width="15" customWidth="1"/>
  </cols>
  <sheetData>
    <row r="1" spans="1:18" x14ac:dyDescent="0.2">
      <c r="A1" s="7" t="s">
        <v>231</v>
      </c>
      <c r="B1" s="50" t="s">
        <v>204</v>
      </c>
    </row>
    <row r="2" spans="1:18" x14ac:dyDescent="0.2">
      <c r="A2" s="7" t="s">
        <v>653</v>
      </c>
      <c r="B2" s="131" t="s">
        <v>71</v>
      </c>
    </row>
    <row r="3" spans="1:18" x14ac:dyDescent="0.2">
      <c r="A3" s="7" t="s">
        <v>201</v>
      </c>
      <c r="B3" s="131" t="s">
        <v>10</v>
      </c>
    </row>
    <row r="6" spans="1:18" x14ac:dyDescent="0.2">
      <c r="A6" s="158" t="s">
        <v>197</v>
      </c>
      <c r="B6" s="159"/>
      <c r="C6" s="159"/>
      <c r="D6" s="160"/>
    </row>
    <row r="7" spans="1:18" x14ac:dyDescent="0.2">
      <c r="A7" s="52" t="s">
        <v>25</v>
      </c>
      <c r="B7" s="52" t="s">
        <v>26</v>
      </c>
      <c r="C7" s="31" t="s">
        <v>5</v>
      </c>
      <c r="D7" s="64" t="s">
        <v>18</v>
      </c>
    </row>
    <row r="8" spans="1:18" x14ac:dyDescent="0.2">
      <c r="A8" s="53" t="s">
        <v>653</v>
      </c>
      <c r="B8" s="161">
        <v>100</v>
      </c>
      <c r="C8" s="80">
        <f>IF($B2="USDT",VLOOKUP("Kraken-USD-USDT",C9,FALSE),IFERROR(VLOOKUP(CONCATENATE(B1,"-USD-",$B2),Quotes[],7,FALSE),IFERROR(VLOOKUP(CONCATENATE(B1,"-USDT-",$B2),Quotes[],7,FALSE),IFERROR(VLOOKUP(CONCATENATE(B1,"-BTC-",$B2),Quotes[],7,FALSE),0)*MAX(IFERROR(VLOOKUP(CONCATENATE(B1,"-USDT-BTC"),Quotes[],7,FALSE),0),IFERROR(VLOOKUP(CONCATENATE(B1,"-USD-BTC"),Quotes[],7,FALSE),0)))))</f>
        <v>0.49311540779365415</v>
      </c>
      <c r="D8" s="65">
        <f>IFERROR(B8/C8,"")</f>
        <v>202.79228436083537</v>
      </c>
    </row>
    <row r="9" spans="1:18" x14ac:dyDescent="0.2">
      <c r="A9" s="55" t="s">
        <v>201</v>
      </c>
      <c r="B9" s="162"/>
      <c r="C9" s="80">
        <f>IF($B3="USDT",VLOOKUP("Kraken-USD-USDT",Quotes[],7,FALSE),IFERROR(VLOOKUP(CONCATENATE(B1,"-USD-",$B3),Quotes[],7,FALSE),IFERROR(VLOOKUP(CONCATENATE(B1,"-USDT-",$B3),Quotes[],7,FALSE),IFERROR(VLOOKUP(CONCATENATE(B1,"-BTC-",$B3),Quotes[],7,FALSE),0)*MAX(IFERROR(VLOOKUP(CONCATENATE(B1,"-USDT-BTC"),Quotes[],7,FALSE),0),IFERROR(VLOOKUP(CONCATENATE(B1,"-USD-BTC"),Quotes[],7,FALSE),0)))))</f>
        <v>6899.6139330300002</v>
      </c>
      <c r="D9" s="65">
        <f>IFERROR(B8/C9,"")</f>
        <v>1.4493564563268904E-2</v>
      </c>
    </row>
    <row r="10" spans="1:18" x14ac:dyDescent="0.2">
      <c r="A10" s="54" t="s">
        <v>5</v>
      </c>
      <c r="B10" s="61"/>
      <c r="C10" s="79">
        <f>IFERROR(C8/C9,"")</f>
        <v>7.1470000000000005E-5</v>
      </c>
      <c r="D10" s="65"/>
    </row>
    <row r="13" spans="1:18" x14ac:dyDescent="0.2">
      <c r="A13" s="148" t="s">
        <v>193</v>
      </c>
      <c r="B13" s="148"/>
      <c r="C13" s="148"/>
      <c r="E13" s="148" t="s">
        <v>196</v>
      </c>
      <c r="F13" s="148"/>
      <c r="G13" s="148"/>
    </row>
    <row r="14" spans="1:18" x14ac:dyDescent="0.2">
      <c r="A14" s="7" t="s">
        <v>664</v>
      </c>
      <c r="B14" s="163" t="e">
        <f>VLOOKUP(B1&amp;"-"&amp;B3,Balances!A:F,5,FALSE)</f>
        <v>#N/A</v>
      </c>
      <c r="C14" s="164"/>
      <c r="E14" s="7" t="s">
        <v>664</v>
      </c>
      <c r="F14" s="163" t="e">
        <f>VLOOKUP(B1&amp;"-"&amp;B2,Balances!A:F,5,FALSE)</f>
        <v>#N/A</v>
      </c>
      <c r="G14" s="164"/>
    </row>
    <row r="15" spans="1:18" x14ac:dyDescent="0.2">
      <c r="A15" s="7" t="s">
        <v>18</v>
      </c>
      <c r="B15" s="163">
        <v>85</v>
      </c>
      <c r="C15" s="164"/>
      <c r="E15" s="7" t="s">
        <v>18</v>
      </c>
      <c r="F15" s="163">
        <v>4.5</v>
      </c>
      <c r="G15" s="164"/>
    </row>
    <row r="16" spans="1:18" s="21" customFormat="1" x14ac:dyDescent="0.2">
      <c r="A16" s="7" t="s">
        <v>663</v>
      </c>
      <c r="B16" s="163">
        <v>1.025E-4</v>
      </c>
      <c r="C16" s="164"/>
      <c r="E16" s="7" t="s">
        <v>663</v>
      </c>
      <c r="F16" s="163">
        <v>0.6099</v>
      </c>
      <c r="G16" s="164"/>
      <c r="H16" s="60"/>
      <c r="I16" s="56"/>
      <c r="J16" s="56"/>
      <c r="K16" s="20"/>
      <c r="L16" s="58"/>
      <c r="M16" s="63"/>
      <c r="N16" s="60"/>
      <c r="O16" s="60"/>
      <c r="P16" s="20"/>
      <c r="Q16" s="47"/>
      <c r="R16" s="63"/>
    </row>
    <row r="17" spans="1:18" x14ac:dyDescent="0.2">
      <c r="A17" s="7" t="s">
        <v>1</v>
      </c>
      <c r="B17" s="163">
        <f>IF($B$1="Bittrex",B15*B16*1.0025,B15*B16)</f>
        <v>8.7342812499999999E-3</v>
      </c>
      <c r="C17" s="164"/>
      <c r="E17" s="7" t="s">
        <v>1</v>
      </c>
      <c r="F17" s="163">
        <f>IF($B$1="Bittrex",F15*F16*0.9975,F15*F16)</f>
        <v>2.7376886250000001</v>
      </c>
      <c r="G17" s="164"/>
    </row>
    <row r="20" spans="1:18" s="21" customFormat="1" x14ac:dyDescent="0.2">
      <c r="E20" s="63"/>
      <c r="F20" s="60"/>
      <c r="G20" s="60"/>
      <c r="H20" s="60"/>
      <c r="I20" s="56"/>
      <c r="J20" s="56"/>
      <c r="K20" s="20"/>
      <c r="L20" s="58"/>
      <c r="M20" s="63"/>
      <c r="N20" s="60"/>
      <c r="O20" s="60"/>
      <c r="P20" s="20"/>
      <c r="Q20" s="47"/>
      <c r="R20" s="63"/>
    </row>
    <row r="21" spans="1:18" s="21" customFormat="1" x14ac:dyDescent="0.2">
      <c r="E21" s="63"/>
      <c r="F21" s="60"/>
      <c r="G21" s="60"/>
      <c r="H21" s="60"/>
      <c r="I21" s="56"/>
      <c r="J21" s="56"/>
      <c r="K21" s="20"/>
      <c r="L21" s="58"/>
      <c r="M21" s="63"/>
      <c r="N21" s="60"/>
      <c r="O21" s="60"/>
      <c r="P21" s="20"/>
      <c r="Q21" s="47"/>
      <c r="R21" s="63"/>
    </row>
  </sheetData>
  <mergeCells count="12">
    <mergeCell ref="F17:G17"/>
    <mergeCell ref="E13:G13"/>
    <mergeCell ref="A13:C13"/>
    <mergeCell ref="B14:C14"/>
    <mergeCell ref="B15:C15"/>
    <mergeCell ref="B16:C16"/>
    <mergeCell ref="B17:C17"/>
    <mergeCell ref="A6:D6"/>
    <mergeCell ref="B8:B9"/>
    <mergeCell ref="F14:G14"/>
    <mergeCell ref="F15:G15"/>
    <mergeCell ref="F16:G16"/>
  </mergeCells>
  <conditionalFormatting sqref="A1:XFD1048576">
    <cfRule type="expression" dxfId="18" priority="1">
      <formula>MOD(ROW(),2)=1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702" r:id="rId3" name="Button 6">
              <controlPr defaultSize="0" print="0" autoFill="0" autoPict="0" macro="[0]!Trading.PlaceBuyOrder">
                <anchor moveWithCells="1" sizeWithCells="1">
                  <from>
                    <xdr:col>0</xdr:col>
                    <xdr:colOff>0</xdr:colOff>
                    <xdr:row>17</xdr:row>
                    <xdr:rowOff>152400</xdr:rowOff>
                  </from>
                  <to>
                    <xdr:col>2</xdr:col>
                    <xdr:colOff>1038225</xdr:colOff>
                    <xdr:row>19</xdr:row>
                    <xdr:rowOff>152400</xdr:rowOff>
                  </to>
                </anchor>
              </controlPr>
            </control>
          </mc:Choice>
        </mc:AlternateContent>
        <mc:AlternateContent xmlns:mc="http://schemas.openxmlformats.org/markup-compatibility/2006">
          <mc:Choice Requires="x14">
            <control shapeId="29703" r:id="rId4" name="Button 7">
              <controlPr defaultSize="0" print="0" autoFill="0" autoPict="0" macro="[0]!Update">
                <anchor moveWithCells="1" sizeWithCells="1">
                  <from>
                    <xdr:col>3</xdr:col>
                    <xdr:colOff>1038225</xdr:colOff>
                    <xdr:row>17</xdr:row>
                    <xdr:rowOff>142875</xdr:rowOff>
                  </from>
                  <to>
                    <xdr:col>6</xdr:col>
                    <xdr:colOff>1038225</xdr:colOff>
                    <xdr:row>19</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API!$A:$A</xm:f>
          </x14:formula1>
          <xm:sqref>B1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G2"/>
  <sheetViews>
    <sheetView zoomScale="120" zoomScaleNormal="120" workbookViewId="0">
      <pane ySplit="2" topLeftCell="A3" activePane="bottomLeft" state="frozen"/>
      <selection pane="bottomLeft" sqref="A1:G1"/>
    </sheetView>
  </sheetViews>
  <sheetFormatPr defaultRowHeight="12.75" x14ac:dyDescent="0.2"/>
  <cols>
    <col min="1" max="1" width="14.85546875" bestFit="1" customWidth="1"/>
    <col min="2" max="2" width="14.5703125" bestFit="1" customWidth="1"/>
    <col min="3" max="3" width="13.7109375" style="4" bestFit="1" customWidth="1"/>
    <col min="4" max="4" width="15.140625" style="3" bestFit="1" customWidth="1"/>
    <col min="5" max="5" width="19.28515625" style="3" bestFit="1" customWidth="1"/>
    <col min="6" max="6" width="18.28515625" style="3" bestFit="1" customWidth="1"/>
    <col min="7" max="7" width="39.28515625" style="136" bestFit="1" customWidth="1"/>
  </cols>
  <sheetData>
    <row r="1" spans="1:7" s="10" customFormat="1" ht="37.5" customHeight="1" x14ac:dyDescent="0.2">
      <c r="A1" s="157"/>
      <c r="B1" s="157"/>
      <c r="C1" s="157"/>
      <c r="D1" s="157"/>
      <c r="E1" s="157"/>
      <c r="F1" s="157"/>
      <c r="G1" s="157"/>
    </row>
    <row r="2" spans="1:7" s="2" customFormat="1" ht="30" customHeight="1" x14ac:dyDescent="0.2">
      <c r="A2" s="143" t="s">
        <v>671</v>
      </c>
      <c r="B2" s="143" t="s">
        <v>231</v>
      </c>
      <c r="C2" s="5" t="s">
        <v>25</v>
      </c>
      <c r="D2" s="6" t="s">
        <v>654</v>
      </c>
      <c r="E2" s="6" t="s">
        <v>655</v>
      </c>
      <c r="F2" s="6" t="s">
        <v>656</v>
      </c>
      <c r="G2" s="5" t="s">
        <v>1153</v>
      </c>
    </row>
  </sheetData>
  <autoFilter ref="B2:F2"/>
  <dataConsolidate/>
  <mergeCells count="1">
    <mergeCell ref="A1:G1"/>
  </mergeCells>
  <conditionalFormatting sqref="A1 H1:XFD1048576 A2:G1048576">
    <cfRule type="expression" dxfId="17" priority="3">
      <formula>MOD(ROW(),2)=1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UpdateBalancesSheet">
                <anchor>
                  <from>
                    <xdr:col>0</xdr:col>
                    <xdr:colOff>0</xdr:colOff>
                    <xdr:row>0</xdr:row>
                    <xdr:rowOff>66675</xdr:rowOff>
                  </from>
                  <to>
                    <xdr:col>1</xdr:col>
                    <xdr:colOff>409575</xdr:colOff>
                    <xdr:row>0</xdr:row>
                    <xdr:rowOff>409575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086"/>
  <sheetViews>
    <sheetView zoomScale="150" zoomScaleNormal="150" workbookViewId="0">
      <pane ySplit="1" topLeftCell="A2" activePane="bottomLeft" state="frozen"/>
      <selection pane="bottomLeft"/>
    </sheetView>
  </sheetViews>
  <sheetFormatPr defaultColWidth="15.7109375" defaultRowHeight="12.75" x14ac:dyDescent="0.2"/>
  <cols>
    <col min="1" max="1" width="20" bestFit="1" customWidth="1"/>
    <col min="2" max="2" width="14.5703125" bestFit="1" customWidth="1"/>
    <col min="3" max="3" width="18.85546875" bestFit="1" customWidth="1"/>
    <col min="4" max="4" width="20.5703125" bestFit="1" customWidth="1"/>
    <col min="5" max="5" width="24.85546875" bestFit="1" customWidth="1"/>
    <col min="6" max="6" width="26.7109375" bestFit="1" customWidth="1"/>
    <col min="7" max="7" width="16" style="141" bestFit="1" customWidth="1"/>
    <col min="8" max="8" width="14.7109375" style="46" bestFit="1" customWidth="1"/>
  </cols>
  <sheetData>
    <row r="1" spans="1:8" s="43" customFormat="1" x14ac:dyDescent="0.2">
      <c r="A1" s="43" t="s">
        <v>259</v>
      </c>
      <c r="B1" s="44" t="s">
        <v>231</v>
      </c>
      <c r="C1" s="44" t="s">
        <v>191</v>
      </c>
      <c r="D1" s="44" t="s">
        <v>190</v>
      </c>
      <c r="E1" s="44" t="s">
        <v>258</v>
      </c>
      <c r="F1" s="44" t="s">
        <v>257</v>
      </c>
      <c r="G1" s="139" t="s">
        <v>5</v>
      </c>
    </row>
    <row r="2" spans="1:8" x14ac:dyDescent="0.2">
      <c r="A2" s="1" t="s">
        <v>757</v>
      </c>
      <c r="B2" s="1" t="s">
        <v>220</v>
      </c>
      <c r="C2" s="1" t="s">
        <v>74</v>
      </c>
      <c r="D2" s="1" t="s">
        <v>100</v>
      </c>
      <c r="E2" s="1" t="s">
        <v>758</v>
      </c>
      <c r="F2" s="1" t="s">
        <v>99</v>
      </c>
      <c r="G2" s="140">
        <v>5.8770000000000003E-2</v>
      </c>
      <c r="H2"/>
    </row>
    <row r="3" spans="1:8" x14ac:dyDescent="0.2">
      <c r="A3" s="1" t="s">
        <v>759</v>
      </c>
      <c r="B3" s="1" t="s">
        <v>220</v>
      </c>
      <c r="C3" s="1" t="s">
        <v>74</v>
      </c>
      <c r="D3" s="1" t="s">
        <v>760</v>
      </c>
      <c r="E3" s="1" t="s">
        <v>758</v>
      </c>
      <c r="F3" s="1" t="s">
        <v>761</v>
      </c>
      <c r="G3" s="140">
        <v>0.14124999999999999</v>
      </c>
      <c r="H3"/>
    </row>
    <row r="4" spans="1:8" x14ac:dyDescent="0.2">
      <c r="A4" s="1" t="s">
        <v>762</v>
      </c>
      <c r="B4" s="1" t="s">
        <v>220</v>
      </c>
      <c r="C4" s="1" t="s">
        <v>74</v>
      </c>
      <c r="D4" s="1" t="s">
        <v>763</v>
      </c>
      <c r="E4" s="1" t="s">
        <v>758</v>
      </c>
      <c r="F4" s="1" t="s">
        <v>764</v>
      </c>
      <c r="G4" s="140">
        <v>0.19200999999999999</v>
      </c>
      <c r="H4"/>
    </row>
    <row r="5" spans="1:8" x14ac:dyDescent="0.2">
      <c r="A5" s="1" t="s">
        <v>765</v>
      </c>
      <c r="B5" s="1" t="s">
        <v>220</v>
      </c>
      <c r="C5" s="1" t="s">
        <v>74</v>
      </c>
      <c r="D5" s="1" t="s">
        <v>766</v>
      </c>
      <c r="E5" s="1" t="s">
        <v>758</v>
      </c>
      <c r="F5" s="1" t="s">
        <v>767</v>
      </c>
      <c r="G5" s="140">
        <v>2.4400000000000002E-2</v>
      </c>
      <c r="H5"/>
    </row>
    <row r="6" spans="1:8" x14ac:dyDescent="0.2">
      <c r="A6" s="1" t="s">
        <v>768</v>
      </c>
      <c r="B6" s="1" t="s">
        <v>220</v>
      </c>
      <c r="C6" s="1" t="s">
        <v>74</v>
      </c>
      <c r="D6" s="1" t="s">
        <v>769</v>
      </c>
      <c r="E6" s="1" t="s">
        <v>758</v>
      </c>
      <c r="F6" s="1" t="s">
        <v>770</v>
      </c>
      <c r="G6" s="140">
        <v>3.4389999999999997E-2</v>
      </c>
      <c r="H6"/>
    </row>
    <row r="7" spans="1:8" x14ac:dyDescent="0.2">
      <c r="A7" s="1" t="s">
        <v>771</v>
      </c>
      <c r="B7" s="1" t="s">
        <v>220</v>
      </c>
      <c r="C7" s="1" t="s">
        <v>74</v>
      </c>
      <c r="D7" s="1" t="s">
        <v>53</v>
      </c>
      <c r="E7" s="1" t="s">
        <v>758</v>
      </c>
      <c r="F7" s="1" t="s">
        <v>52</v>
      </c>
      <c r="G7" s="140">
        <v>1.8259999999999998E-2</v>
      </c>
      <c r="H7"/>
    </row>
    <row r="8" spans="1:8" x14ac:dyDescent="0.2">
      <c r="A8" s="1" t="s">
        <v>1161</v>
      </c>
      <c r="B8" s="1" t="s">
        <v>220</v>
      </c>
      <c r="C8" s="1" t="s">
        <v>74</v>
      </c>
      <c r="D8" s="1" t="s">
        <v>30</v>
      </c>
      <c r="E8" s="1" t="s">
        <v>758</v>
      </c>
      <c r="F8" s="1" t="s">
        <v>19</v>
      </c>
      <c r="G8" s="140">
        <v>70.95</v>
      </c>
      <c r="H8"/>
    </row>
    <row r="9" spans="1:8" x14ac:dyDescent="0.2">
      <c r="A9" s="1" t="s">
        <v>772</v>
      </c>
      <c r="B9" s="1" t="s">
        <v>220</v>
      </c>
      <c r="C9" s="1" t="s">
        <v>74</v>
      </c>
      <c r="D9" s="1" t="s">
        <v>773</v>
      </c>
      <c r="E9" s="1" t="s">
        <v>758</v>
      </c>
      <c r="F9" s="1" t="s">
        <v>774</v>
      </c>
      <c r="G9" s="140">
        <v>3.6479999999999999E-2</v>
      </c>
      <c r="H9"/>
    </row>
    <row r="10" spans="1:8" x14ac:dyDescent="0.2">
      <c r="A10" s="1" t="s">
        <v>775</v>
      </c>
      <c r="B10" s="1" t="s">
        <v>220</v>
      </c>
      <c r="C10" s="1" t="s">
        <v>74</v>
      </c>
      <c r="D10" s="1" t="s">
        <v>776</v>
      </c>
      <c r="E10" s="1" t="s">
        <v>758</v>
      </c>
      <c r="F10" s="1" t="s">
        <v>777</v>
      </c>
      <c r="G10" s="140">
        <v>2.886E-2</v>
      </c>
      <c r="H10"/>
    </row>
    <row r="11" spans="1:8" x14ac:dyDescent="0.2">
      <c r="A11" s="1" t="s">
        <v>778</v>
      </c>
      <c r="B11" s="1" t="s">
        <v>220</v>
      </c>
      <c r="C11" s="1" t="s">
        <v>74</v>
      </c>
      <c r="D11" s="1" t="s">
        <v>779</v>
      </c>
      <c r="E11" s="1" t="s">
        <v>758</v>
      </c>
      <c r="F11" s="1" t="s">
        <v>780</v>
      </c>
      <c r="G11" s="140">
        <v>4.0689999999999997E-2</v>
      </c>
      <c r="H11"/>
    </row>
    <row r="12" spans="1:8" x14ac:dyDescent="0.2">
      <c r="A12" s="1" t="s">
        <v>781</v>
      </c>
      <c r="B12" s="1" t="s">
        <v>220</v>
      </c>
      <c r="C12" s="1" t="s">
        <v>74</v>
      </c>
      <c r="D12" s="1" t="s">
        <v>55</v>
      </c>
      <c r="E12" s="1" t="s">
        <v>758</v>
      </c>
      <c r="F12" s="1" t="s">
        <v>54</v>
      </c>
      <c r="G12" s="140">
        <v>1.2630000000000001E-2</v>
      </c>
      <c r="H12"/>
    </row>
    <row r="13" spans="1:8" x14ac:dyDescent="0.2">
      <c r="A13" s="1" t="s">
        <v>782</v>
      </c>
      <c r="B13" s="1" t="s">
        <v>220</v>
      </c>
      <c r="C13" s="1" t="s">
        <v>74</v>
      </c>
      <c r="D13" s="1" t="s">
        <v>783</v>
      </c>
      <c r="E13" s="1" t="s">
        <v>758</v>
      </c>
      <c r="F13" s="1" t="s">
        <v>784</v>
      </c>
      <c r="G13" s="140">
        <v>1.0500000000000001E-2</v>
      </c>
      <c r="H13"/>
    </row>
    <row r="14" spans="1:8" x14ac:dyDescent="0.2">
      <c r="A14" s="1" t="s">
        <v>785</v>
      </c>
      <c r="B14" s="1" t="s">
        <v>220</v>
      </c>
      <c r="C14" s="1" t="s">
        <v>74</v>
      </c>
      <c r="D14" s="1" t="s">
        <v>786</v>
      </c>
      <c r="E14" s="1" t="s">
        <v>758</v>
      </c>
      <c r="F14" s="1" t="s">
        <v>787</v>
      </c>
      <c r="G14" s="140">
        <v>5.9199999999999999E-3</v>
      </c>
      <c r="H14"/>
    </row>
    <row r="15" spans="1:8" x14ac:dyDescent="0.2">
      <c r="A15" s="1" t="s">
        <v>788</v>
      </c>
      <c r="B15" s="1" t="s">
        <v>220</v>
      </c>
      <c r="C15" s="1" t="s">
        <v>74</v>
      </c>
      <c r="D15" s="1" t="s">
        <v>789</v>
      </c>
      <c r="E15" s="1" t="s">
        <v>758</v>
      </c>
      <c r="F15" s="1" t="s">
        <v>790</v>
      </c>
      <c r="G15" s="140">
        <v>1.4789999999999999E-2</v>
      </c>
      <c r="H15"/>
    </row>
    <row r="16" spans="1:8" x14ac:dyDescent="0.2">
      <c r="A16" s="1" t="s">
        <v>791</v>
      </c>
      <c r="B16" s="1" t="s">
        <v>220</v>
      </c>
      <c r="C16" s="1" t="s">
        <v>74</v>
      </c>
      <c r="D16" s="1" t="s">
        <v>792</v>
      </c>
      <c r="E16" s="1" t="s">
        <v>758</v>
      </c>
      <c r="F16" s="1" t="s">
        <v>793</v>
      </c>
      <c r="G16" s="140">
        <v>1.804E-2</v>
      </c>
      <c r="H16"/>
    </row>
    <row r="17" spans="1:8" x14ac:dyDescent="0.2">
      <c r="A17" s="1" t="s">
        <v>794</v>
      </c>
      <c r="B17" s="1" t="s">
        <v>220</v>
      </c>
      <c r="C17" s="1" t="s">
        <v>74</v>
      </c>
      <c r="D17" s="1" t="s">
        <v>795</v>
      </c>
      <c r="E17" s="1" t="s">
        <v>758</v>
      </c>
      <c r="F17" s="1" t="s">
        <v>796</v>
      </c>
      <c r="G17" s="140">
        <v>0.2213</v>
      </c>
      <c r="H17"/>
    </row>
    <row r="18" spans="1:8" x14ac:dyDescent="0.2">
      <c r="A18" s="1" t="s">
        <v>797</v>
      </c>
      <c r="B18" s="1" t="s">
        <v>220</v>
      </c>
      <c r="C18" s="1" t="s">
        <v>74</v>
      </c>
      <c r="D18" s="1" t="s">
        <v>31</v>
      </c>
      <c r="E18" s="1" t="s">
        <v>758</v>
      </c>
      <c r="F18" s="1" t="s">
        <v>31</v>
      </c>
      <c r="G18" s="140">
        <v>0.10595</v>
      </c>
      <c r="H18"/>
    </row>
    <row r="19" spans="1:8" x14ac:dyDescent="0.2">
      <c r="A19" s="1" t="s">
        <v>798</v>
      </c>
      <c r="B19" s="1" t="s">
        <v>220</v>
      </c>
      <c r="C19" s="1" t="s">
        <v>74</v>
      </c>
      <c r="D19" s="1" t="s">
        <v>37</v>
      </c>
      <c r="E19" s="1" t="s">
        <v>758</v>
      </c>
      <c r="F19" s="1" t="s">
        <v>36</v>
      </c>
      <c r="G19" s="140">
        <v>0.73170000000000002</v>
      </c>
      <c r="H19"/>
    </row>
    <row r="20" spans="1:8" x14ac:dyDescent="0.2">
      <c r="A20" s="1" t="s">
        <v>799</v>
      </c>
      <c r="B20" s="1" t="s">
        <v>220</v>
      </c>
      <c r="C20" s="1" t="s">
        <v>74</v>
      </c>
      <c r="D20" s="1" t="s">
        <v>13</v>
      </c>
      <c r="E20" s="1" t="s">
        <v>758</v>
      </c>
      <c r="F20" s="1" t="s">
        <v>23</v>
      </c>
      <c r="G20" s="140">
        <v>11.3</v>
      </c>
      <c r="H20"/>
    </row>
    <row r="21" spans="1:8" x14ac:dyDescent="0.2">
      <c r="A21" s="1" t="s">
        <v>800</v>
      </c>
      <c r="B21" s="1" t="s">
        <v>220</v>
      </c>
      <c r="C21" s="1" t="s">
        <v>74</v>
      </c>
      <c r="D21" s="1" t="s">
        <v>6</v>
      </c>
      <c r="E21" s="1" t="s">
        <v>758</v>
      </c>
      <c r="F21" s="1" t="s">
        <v>77</v>
      </c>
      <c r="G21" s="140">
        <v>0.45034999999999997</v>
      </c>
      <c r="H21"/>
    </row>
    <row r="22" spans="1:8" x14ac:dyDescent="0.2">
      <c r="A22" s="1" t="s">
        <v>801</v>
      </c>
      <c r="B22" s="1" t="s">
        <v>220</v>
      </c>
      <c r="C22" s="1" t="s">
        <v>74</v>
      </c>
      <c r="D22" s="1" t="s">
        <v>802</v>
      </c>
      <c r="E22" s="1" t="s">
        <v>758</v>
      </c>
      <c r="F22" s="1" t="s">
        <v>1148</v>
      </c>
      <c r="G22" s="140">
        <v>0.52949999999999997</v>
      </c>
      <c r="H22"/>
    </row>
    <row r="23" spans="1:8" x14ac:dyDescent="0.2">
      <c r="A23" s="1" t="s">
        <v>803</v>
      </c>
      <c r="B23" s="1" t="s">
        <v>220</v>
      </c>
      <c r="C23" s="1" t="s">
        <v>74</v>
      </c>
      <c r="D23" s="1" t="s">
        <v>577</v>
      </c>
      <c r="E23" s="1" t="s">
        <v>758</v>
      </c>
      <c r="F23" s="1" t="s">
        <v>1174</v>
      </c>
      <c r="G23" s="140">
        <v>8.2809999999999995E-2</v>
      </c>
      <c r="H23"/>
    </row>
    <row r="24" spans="1:8" x14ac:dyDescent="0.2">
      <c r="A24" s="1" t="s">
        <v>1175</v>
      </c>
      <c r="B24" s="1" t="s">
        <v>220</v>
      </c>
      <c r="C24" s="1" t="s">
        <v>74</v>
      </c>
      <c r="D24" s="1" t="s">
        <v>1176</v>
      </c>
      <c r="E24" s="1" t="s">
        <v>758</v>
      </c>
      <c r="F24" s="1" t="s">
        <v>1177</v>
      </c>
      <c r="G24" s="140">
        <v>2.8E-3</v>
      </c>
      <c r="H24"/>
    </row>
    <row r="25" spans="1:8" x14ac:dyDescent="0.2">
      <c r="A25" s="1" t="s">
        <v>804</v>
      </c>
      <c r="B25" s="1" t="s">
        <v>220</v>
      </c>
      <c r="C25" s="1" t="s">
        <v>74</v>
      </c>
      <c r="D25" s="1" t="s">
        <v>805</v>
      </c>
      <c r="E25" s="1" t="s">
        <v>758</v>
      </c>
      <c r="F25" s="1" t="s">
        <v>806</v>
      </c>
      <c r="G25" s="140">
        <v>0.75919000000000003</v>
      </c>
      <c r="H25"/>
    </row>
    <row r="26" spans="1:8" x14ac:dyDescent="0.2">
      <c r="A26" s="1" t="s">
        <v>807</v>
      </c>
      <c r="B26" s="1" t="s">
        <v>220</v>
      </c>
      <c r="C26" s="1" t="s">
        <v>74</v>
      </c>
      <c r="D26" s="1" t="s">
        <v>14</v>
      </c>
      <c r="E26" s="1" t="s">
        <v>758</v>
      </c>
      <c r="F26" s="1" t="s">
        <v>14</v>
      </c>
      <c r="G26" s="140">
        <v>5.0389999999999997</v>
      </c>
      <c r="H26"/>
    </row>
    <row r="27" spans="1:8" x14ac:dyDescent="0.2">
      <c r="A27" s="1" t="s">
        <v>808</v>
      </c>
      <c r="B27" s="1" t="s">
        <v>220</v>
      </c>
      <c r="C27" s="1" t="s">
        <v>74</v>
      </c>
      <c r="D27" s="1" t="s">
        <v>809</v>
      </c>
      <c r="E27" s="1" t="s">
        <v>758</v>
      </c>
      <c r="F27" s="1" t="s">
        <v>810</v>
      </c>
      <c r="G27" s="140">
        <v>0.20668</v>
      </c>
      <c r="H27"/>
    </row>
    <row r="28" spans="1:8" x14ac:dyDescent="0.2">
      <c r="A28" s="1" t="s">
        <v>1178</v>
      </c>
      <c r="B28" s="1" t="s">
        <v>220</v>
      </c>
      <c r="C28" s="1" t="s">
        <v>74</v>
      </c>
      <c r="D28" s="1" t="s">
        <v>1173</v>
      </c>
      <c r="E28" s="1" t="s">
        <v>758</v>
      </c>
      <c r="F28" s="1" t="s">
        <v>1179</v>
      </c>
      <c r="G28" s="140">
        <v>0.215</v>
      </c>
      <c r="H28"/>
    </row>
    <row r="29" spans="1:8" x14ac:dyDescent="0.2">
      <c r="A29" s="1" t="s">
        <v>811</v>
      </c>
      <c r="B29" s="1" t="s">
        <v>220</v>
      </c>
      <c r="C29" s="1" t="s">
        <v>74</v>
      </c>
      <c r="D29" s="1" t="s">
        <v>812</v>
      </c>
      <c r="E29" s="1" t="s">
        <v>758</v>
      </c>
      <c r="F29" s="1" t="s">
        <v>812</v>
      </c>
      <c r="G29" s="140">
        <v>1.338E-2</v>
      </c>
      <c r="H29"/>
    </row>
    <row r="30" spans="1:8" x14ac:dyDescent="0.2">
      <c r="A30" s="1" t="s">
        <v>813</v>
      </c>
      <c r="B30" s="1" t="s">
        <v>220</v>
      </c>
      <c r="C30" s="1" t="s">
        <v>74</v>
      </c>
      <c r="D30" s="1" t="s">
        <v>588</v>
      </c>
      <c r="E30" s="1" t="s">
        <v>758</v>
      </c>
      <c r="F30" s="1" t="s">
        <v>588</v>
      </c>
      <c r="G30" s="140">
        <v>0.33511000000000002</v>
      </c>
      <c r="H30"/>
    </row>
    <row r="31" spans="1:8" x14ac:dyDescent="0.2">
      <c r="A31" s="1" t="s">
        <v>1180</v>
      </c>
      <c r="B31" s="1" t="s">
        <v>220</v>
      </c>
      <c r="C31" s="1" t="s">
        <v>74</v>
      </c>
      <c r="D31" s="1" t="s">
        <v>1181</v>
      </c>
      <c r="E31" s="1" t="s">
        <v>758</v>
      </c>
      <c r="F31" s="1" t="s">
        <v>1182</v>
      </c>
      <c r="G31" s="140">
        <v>3.7409999999999999E-2</v>
      </c>
      <c r="H31"/>
    </row>
    <row r="32" spans="1:8" x14ac:dyDescent="0.2">
      <c r="A32" s="1" t="s">
        <v>814</v>
      </c>
      <c r="B32" s="1" t="s">
        <v>220</v>
      </c>
      <c r="C32" s="1" t="s">
        <v>74</v>
      </c>
      <c r="D32" s="1" t="s">
        <v>221</v>
      </c>
      <c r="E32" s="1" t="s">
        <v>758</v>
      </c>
      <c r="F32" s="1" t="s">
        <v>649</v>
      </c>
      <c r="G32" s="140">
        <v>2.7550000000000002E-2</v>
      </c>
      <c r="H32"/>
    </row>
    <row r="33" spans="1:8" x14ac:dyDescent="0.2">
      <c r="A33" s="1" t="s">
        <v>815</v>
      </c>
      <c r="B33" s="1" t="s">
        <v>220</v>
      </c>
      <c r="C33" s="1" t="s">
        <v>74</v>
      </c>
      <c r="D33" s="1" t="s">
        <v>816</v>
      </c>
      <c r="E33" s="1" t="s">
        <v>758</v>
      </c>
      <c r="F33" s="1" t="s">
        <v>817</v>
      </c>
      <c r="G33" s="140">
        <v>1.026E-2</v>
      </c>
      <c r="H33"/>
    </row>
    <row r="34" spans="1:8" x14ac:dyDescent="0.2">
      <c r="A34" s="1" t="s">
        <v>1211</v>
      </c>
      <c r="B34" s="1" t="s">
        <v>220</v>
      </c>
      <c r="C34" s="1" t="s">
        <v>74</v>
      </c>
      <c r="D34" s="1" t="s">
        <v>39</v>
      </c>
      <c r="E34" s="1" t="s">
        <v>758</v>
      </c>
      <c r="F34" s="1" t="s">
        <v>38</v>
      </c>
      <c r="G34" s="140">
        <v>1.3791</v>
      </c>
      <c r="H34"/>
    </row>
    <row r="35" spans="1:8" x14ac:dyDescent="0.2">
      <c r="A35" s="1" t="s">
        <v>818</v>
      </c>
      <c r="B35" s="1" t="s">
        <v>220</v>
      </c>
      <c r="C35" s="1" t="s">
        <v>74</v>
      </c>
      <c r="D35" s="1" t="s">
        <v>187</v>
      </c>
      <c r="E35" s="1" t="s">
        <v>758</v>
      </c>
      <c r="F35" s="1" t="s">
        <v>215</v>
      </c>
      <c r="G35" s="140">
        <v>7.9100000000000004E-3</v>
      </c>
      <c r="H35"/>
    </row>
    <row r="36" spans="1:8" x14ac:dyDescent="0.2">
      <c r="A36" s="1" t="s">
        <v>819</v>
      </c>
      <c r="B36" s="1" t="s">
        <v>220</v>
      </c>
      <c r="C36" s="1" t="s">
        <v>74</v>
      </c>
      <c r="D36" s="1" t="s">
        <v>820</v>
      </c>
      <c r="E36" s="1" t="s">
        <v>758</v>
      </c>
      <c r="F36" s="1" t="s">
        <v>821</v>
      </c>
      <c r="G36" s="140">
        <v>0.13525000000000001</v>
      </c>
      <c r="H36"/>
    </row>
    <row r="37" spans="1:8" x14ac:dyDescent="0.2">
      <c r="A37" s="1" t="s">
        <v>822</v>
      </c>
      <c r="B37" s="1" t="s">
        <v>220</v>
      </c>
      <c r="C37" s="1" t="s">
        <v>74</v>
      </c>
      <c r="D37" s="1" t="s">
        <v>600</v>
      </c>
      <c r="E37" s="1" t="s">
        <v>758</v>
      </c>
      <c r="F37" s="1" t="s">
        <v>669</v>
      </c>
      <c r="G37" s="140">
        <v>8.0310000000000006E-2</v>
      </c>
      <c r="H37"/>
    </row>
    <row r="38" spans="1:8" x14ac:dyDescent="0.2">
      <c r="A38" s="1" t="s">
        <v>1129</v>
      </c>
      <c r="B38" s="1" t="s">
        <v>220</v>
      </c>
      <c r="C38" s="1" t="s">
        <v>74</v>
      </c>
      <c r="D38" s="1" t="s">
        <v>1130</v>
      </c>
      <c r="E38" s="1" t="s">
        <v>758</v>
      </c>
      <c r="F38" s="1" t="s">
        <v>1131</v>
      </c>
      <c r="G38" s="140">
        <v>7.0499999999999998E-3</v>
      </c>
      <c r="H38"/>
    </row>
    <row r="39" spans="1:8" x14ac:dyDescent="0.2">
      <c r="A39" s="1" t="s">
        <v>823</v>
      </c>
      <c r="B39" s="1" t="s">
        <v>220</v>
      </c>
      <c r="C39" s="1" t="s">
        <v>74</v>
      </c>
      <c r="D39" s="1" t="s">
        <v>49</v>
      </c>
      <c r="E39" s="1" t="s">
        <v>758</v>
      </c>
      <c r="F39" s="1" t="s">
        <v>711</v>
      </c>
      <c r="G39" s="140">
        <v>0.15201000000000001</v>
      </c>
      <c r="H39"/>
    </row>
    <row r="40" spans="1:8" x14ac:dyDescent="0.2">
      <c r="A40" s="1" t="s">
        <v>1203</v>
      </c>
      <c r="B40" s="1" t="s">
        <v>220</v>
      </c>
      <c r="C40" s="1" t="s">
        <v>74</v>
      </c>
      <c r="D40" s="1" t="s">
        <v>1204</v>
      </c>
      <c r="E40" s="1" t="s">
        <v>758</v>
      </c>
      <c r="F40" s="1" t="s">
        <v>1205</v>
      </c>
      <c r="G40" s="140">
        <v>3.5999999999999999E-3</v>
      </c>
      <c r="H40"/>
    </row>
    <row r="41" spans="1:8" x14ac:dyDescent="0.2">
      <c r="A41" s="1" t="s">
        <v>1239</v>
      </c>
      <c r="B41" s="1" t="s">
        <v>220</v>
      </c>
      <c r="C41" s="1" t="s">
        <v>74</v>
      </c>
      <c r="D41" s="1" t="s">
        <v>614</v>
      </c>
      <c r="E41" s="1" t="s">
        <v>758</v>
      </c>
      <c r="F41" s="1" t="s">
        <v>644</v>
      </c>
      <c r="G41" s="140">
        <v>2.75E-2</v>
      </c>
      <c r="H41"/>
    </row>
    <row r="42" spans="1:8" x14ac:dyDescent="0.2">
      <c r="A42" s="1" t="s">
        <v>824</v>
      </c>
      <c r="B42" s="1" t="s">
        <v>220</v>
      </c>
      <c r="C42" s="1" t="s">
        <v>74</v>
      </c>
      <c r="D42" s="1" t="s">
        <v>825</v>
      </c>
      <c r="E42" s="1" t="s">
        <v>758</v>
      </c>
      <c r="F42" s="1" t="s">
        <v>826</v>
      </c>
      <c r="G42" s="140">
        <v>7.7619999999999995E-2</v>
      </c>
      <c r="H42"/>
    </row>
    <row r="43" spans="1:8" x14ac:dyDescent="0.2">
      <c r="A43" s="1" t="s">
        <v>827</v>
      </c>
      <c r="B43" s="1" t="s">
        <v>220</v>
      </c>
      <c r="C43" s="1" t="s">
        <v>74</v>
      </c>
      <c r="D43" s="1" t="s">
        <v>183</v>
      </c>
      <c r="E43" s="1" t="s">
        <v>758</v>
      </c>
      <c r="F43" s="1" t="s">
        <v>828</v>
      </c>
      <c r="G43" s="140">
        <v>0.2364</v>
      </c>
      <c r="H43"/>
    </row>
    <row r="44" spans="1:8" x14ac:dyDescent="0.2">
      <c r="A44" s="1" t="s">
        <v>829</v>
      </c>
      <c r="B44" s="1" t="s">
        <v>220</v>
      </c>
      <c r="C44" s="1" t="s">
        <v>74</v>
      </c>
      <c r="D44" s="1" t="s">
        <v>623</v>
      </c>
      <c r="E44" s="1" t="s">
        <v>758</v>
      </c>
      <c r="F44" s="1" t="s">
        <v>645</v>
      </c>
      <c r="G44" s="140">
        <v>0.12304</v>
      </c>
      <c r="H44"/>
    </row>
    <row r="45" spans="1:8" x14ac:dyDescent="0.2">
      <c r="A45" s="1" t="s">
        <v>830</v>
      </c>
      <c r="B45" s="1" t="s">
        <v>220</v>
      </c>
      <c r="C45" s="1" t="s">
        <v>74</v>
      </c>
      <c r="D45" s="1" t="s">
        <v>831</v>
      </c>
      <c r="E45" s="1" t="s">
        <v>758</v>
      </c>
      <c r="F45" s="1" t="s">
        <v>832</v>
      </c>
      <c r="G45" s="140">
        <v>6.2659999999999993E-2</v>
      </c>
      <c r="H45"/>
    </row>
    <row r="46" spans="1:8" x14ac:dyDescent="0.2">
      <c r="A46" s="1" t="s">
        <v>1221</v>
      </c>
      <c r="B46" s="1" t="s">
        <v>220</v>
      </c>
      <c r="C46" s="1" t="s">
        <v>74</v>
      </c>
      <c r="D46" s="1" t="s">
        <v>1222</v>
      </c>
      <c r="E46" s="1" t="s">
        <v>758</v>
      </c>
      <c r="F46" s="1" t="s">
        <v>1225</v>
      </c>
      <c r="G46" s="140">
        <v>0.28822999999999999</v>
      </c>
      <c r="H46"/>
    </row>
    <row r="47" spans="1:8" x14ac:dyDescent="0.2">
      <c r="A47" s="1" t="s">
        <v>833</v>
      </c>
      <c r="B47" s="1" t="s">
        <v>220</v>
      </c>
      <c r="C47" s="1" t="s">
        <v>74</v>
      </c>
      <c r="D47" s="1" t="s">
        <v>44</v>
      </c>
      <c r="E47" s="1" t="s">
        <v>758</v>
      </c>
      <c r="F47" s="1" t="s">
        <v>43</v>
      </c>
      <c r="G47" s="140">
        <v>0.35220000000000001</v>
      </c>
      <c r="H47"/>
    </row>
    <row r="48" spans="1:8" x14ac:dyDescent="0.2">
      <c r="A48" s="1" t="s">
        <v>834</v>
      </c>
      <c r="B48" s="1" t="s">
        <v>220</v>
      </c>
      <c r="C48" s="1" t="s">
        <v>74</v>
      </c>
      <c r="D48" s="1" t="s">
        <v>85</v>
      </c>
      <c r="E48" s="1" t="s">
        <v>758</v>
      </c>
      <c r="F48" s="1" t="s">
        <v>1138</v>
      </c>
      <c r="G48" s="140">
        <v>1.0492999999999999</v>
      </c>
      <c r="H48"/>
    </row>
    <row r="49" spans="1:8" x14ac:dyDescent="0.2">
      <c r="A49" s="1" t="s">
        <v>1214</v>
      </c>
      <c r="B49" s="1" t="s">
        <v>220</v>
      </c>
      <c r="C49" s="1" t="s">
        <v>74</v>
      </c>
      <c r="D49" s="1" t="s">
        <v>631</v>
      </c>
      <c r="E49" s="1" t="s">
        <v>758</v>
      </c>
      <c r="F49" s="1" t="s">
        <v>646</v>
      </c>
      <c r="G49" s="140">
        <v>2.0990000000000002E-2</v>
      </c>
      <c r="H49"/>
    </row>
    <row r="50" spans="1:8" x14ac:dyDescent="0.2">
      <c r="A50" s="1" t="s">
        <v>835</v>
      </c>
      <c r="B50" s="1" t="s">
        <v>220</v>
      </c>
      <c r="C50" s="1" t="s">
        <v>74</v>
      </c>
      <c r="D50" s="1" t="s">
        <v>58</v>
      </c>
      <c r="E50" s="1" t="s">
        <v>758</v>
      </c>
      <c r="F50" s="1" t="s">
        <v>247</v>
      </c>
      <c r="G50" s="140">
        <v>1.822E-2</v>
      </c>
      <c r="H50"/>
    </row>
    <row r="51" spans="1:8" x14ac:dyDescent="0.2">
      <c r="A51" s="1" t="s">
        <v>836</v>
      </c>
      <c r="B51" s="1" t="s">
        <v>220</v>
      </c>
      <c r="C51" s="1" t="s">
        <v>74</v>
      </c>
      <c r="D51" s="1" t="s">
        <v>97</v>
      </c>
      <c r="E51" s="1" t="s">
        <v>758</v>
      </c>
      <c r="F51" s="1" t="s">
        <v>96</v>
      </c>
      <c r="G51" s="140">
        <v>2.7879999999999998</v>
      </c>
      <c r="H51"/>
    </row>
    <row r="52" spans="1:8" x14ac:dyDescent="0.2">
      <c r="A52" s="1" t="s">
        <v>837</v>
      </c>
      <c r="B52" s="1" t="s">
        <v>220</v>
      </c>
      <c r="C52" s="1" t="s">
        <v>74</v>
      </c>
      <c r="D52" s="1" t="s">
        <v>838</v>
      </c>
      <c r="E52" s="1" t="s">
        <v>758</v>
      </c>
      <c r="F52" s="1"/>
      <c r="G52" s="140">
        <v>7.0600000000000003E-3</v>
      </c>
      <c r="H52"/>
    </row>
    <row r="53" spans="1:8" x14ac:dyDescent="0.2">
      <c r="A53" s="1" t="s">
        <v>1183</v>
      </c>
      <c r="B53" s="1" t="s">
        <v>220</v>
      </c>
      <c r="C53" s="1" t="s">
        <v>74</v>
      </c>
      <c r="D53" s="1" t="s">
        <v>1184</v>
      </c>
      <c r="E53" s="1" t="s">
        <v>758</v>
      </c>
      <c r="F53" s="1" t="s">
        <v>1185</v>
      </c>
      <c r="G53" s="140">
        <v>4.1999999999999997E-3</v>
      </c>
      <c r="H53"/>
    </row>
    <row r="54" spans="1:8" x14ac:dyDescent="0.2">
      <c r="A54" s="1" t="s">
        <v>839</v>
      </c>
      <c r="B54" s="1" t="s">
        <v>220</v>
      </c>
      <c r="C54" s="1" t="s">
        <v>10</v>
      </c>
      <c r="D54" s="1" t="s">
        <v>195</v>
      </c>
      <c r="E54" s="1" t="s">
        <v>20</v>
      </c>
      <c r="F54" s="1" t="s">
        <v>648</v>
      </c>
      <c r="G54" s="140">
        <v>2.0080000000000001E-5</v>
      </c>
      <c r="H54"/>
    </row>
    <row r="55" spans="1:8" x14ac:dyDescent="0.2">
      <c r="A55" s="1" t="s">
        <v>840</v>
      </c>
      <c r="B55" s="1" t="s">
        <v>220</v>
      </c>
      <c r="C55" s="1" t="s">
        <v>10</v>
      </c>
      <c r="D55" s="1" t="s">
        <v>100</v>
      </c>
      <c r="E55" s="1" t="s">
        <v>20</v>
      </c>
      <c r="F55" s="1" t="s">
        <v>99</v>
      </c>
      <c r="G55" s="140">
        <v>8.5439999999999995E-5</v>
      </c>
      <c r="H55"/>
    </row>
    <row r="56" spans="1:8" x14ac:dyDescent="0.2">
      <c r="A56" s="1" t="s">
        <v>841</v>
      </c>
      <c r="B56" s="1" t="s">
        <v>220</v>
      </c>
      <c r="C56" s="1" t="s">
        <v>10</v>
      </c>
      <c r="D56" s="1" t="s">
        <v>760</v>
      </c>
      <c r="E56" s="1" t="s">
        <v>20</v>
      </c>
      <c r="F56" s="1" t="s">
        <v>761</v>
      </c>
      <c r="G56" s="140">
        <v>2.0560000000000001E-4</v>
      </c>
      <c r="H56"/>
    </row>
    <row r="57" spans="1:8" x14ac:dyDescent="0.2">
      <c r="A57" s="1" t="s">
        <v>842</v>
      </c>
      <c r="B57" s="1" t="s">
        <v>220</v>
      </c>
      <c r="C57" s="1" t="s">
        <v>10</v>
      </c>
      <c r="D57" s="1" t="s">
        <v>763</v>
      </c>
      <c r="E57" s="1" t="s">
        <v>20</v>
      </c>
      <c r="F57" s="1" t="s">
        <v>764</v>
      </c>
      <c r="G57" s="140">
        <v>2.8039999999999999E-4</v>
      </c>
      <c r="H57"/>
    </row>
    <row r="58" spans="1:8" x14ac:dyDescent="0.2">
      <c r="A58" s="1" t="s">
        <v>843</v>
      </c>
      <c r="B58" s="1" t="s">
        <v>220</v>
      </c>
      <c r="C58" s="1" t="s">
        <v>10</v>
      </c>
      <c r="D58" s="1" t="s">
        <v>766</v>
      </c>
      <c r="E58" s="1" t="s">
        <v>20</v>
      </c>
      <c r="F58" s="1" t="s">
        <v>767</v>
      </c>
      <c r="G58" s="140">
        <v>3.4659999999999997E-5</v>
      </c>
      <c r="H58"/>
    </row>
    <row r="59" spans="1:8" x14ac:dyDescent="0.2">
      <c r="A59" s="1" t="s">
        <v>844</v>
      </c>
      <c r="B59" s="1" t="s">
        <v>220</v>
      </c>
      <c r="C59" s="1" t="s">
        <v>10</v>
      </c>
      <c r="D59" s="1" t="s">
        <v>769</v>
      </c>
      <c r="E59" s="1" t="s">
        <v>20</v>
      </c>
      <c r="F59" s="1" t="s">
        <v>770</v>
      </c>
      <c r="G59" s="140">
        <v>4.9960000000000003E-5</v>
      </c>
      <c r="H59"/>
    </row>
    <row r="60" spans="1:8" x14ac:dyDescent="0.2">
      <c r="A60" s="1" t="s">
        <v>845</v>
      </c>
      <c r="B60" s="1" t="s">
        <v>220</v>
      </c>
      <c r="C60" s="1" t="s">
        <v>10</v>
      </c>
      <c r="D60" s="1" t="s">
        <v>48</v>
      </c>
      <c r="E60" s="1" t="s">
        <v>20</v>
      </c>
      <c r="F60" s="1" t="s">
        <v>47</v>
      </c>
      <c r="G60" s="140">
        <v>2.8140000000000001E-4</v>
      </c>
      <c r="H60"/>
    </row>
    <row r="61" spans="1:8" x14ac:dyDescent="0.2">
      <c r="A61" s="1" t="s">
        <v>846</v>
      </c>
      <c r="B61" s="1" t="s">
        <v>220</v>
      </c>
      <c r="C61" s="1" t="s">
        <v>10</v>
      </c>
      <c r="D61" s="1" t="s">
        <v>847</v>
      </c>
      <c r="E61" s="1" t="s">
        <v>20</v>
      </c>
      <c r="F61" s="1" t="s">
        <v>848</v>
      </c>
      <c r="G61" s="140">
        <v>1.3922000000000001E-4</v>
      </c>
      <c r="H61"/>
    </row>
    <row r="62" spans="1:8" x14ac:dyDescent="0.2">
      <c r="A62" s="1" t="s">
        <v>849</v>
      </c>
      <c r="B62" s="1" t="s">
        <v>220</v>
      </c>
      <c r="C62" s="1" t="s">
        <v>10</v>
      </c>
      <c r="D62" s="1" t="s">
        <v>850</v>
      </c>
      <c r="E62" s="1" t="s">
        <v>20</v>
      </c>
      <c r="F62" s="1" t="s">
        <v>851</v>
      </c>
      <c r="G62" s="140">
        <v>3.252E-5</v>
      </c>
      <c r="H62"/>
    </row>
    <row r="63" spans="1:8" x14ac:dyDescent="0.2">
      <c r="A63" s="1" t="s">
        <v>852</v>
      </c>
      <c r="B63" s="1" t="s">
        <v>220</v>
      </c>
      <c r="C63" s="1" t="s">
        <v>10</v>
      </c>
      <c r="D63" s="1" t="s">
        <v>53</v>
      </c>
      <c r="E63" s="1" t="s">
        <v>20</v>
      </c>
      <c r="F63" s="1" t="s">
        <v>52</v>
      </c>
      <c r="G63" s="140">
        <v>2.6429999999999999E-5</v>
      </c>
      <c r="H63"/>
    </row>
    <row r="64" spans="1:8" x14ac:dyDescent="0.2">
      <c r="A64" s="1" t="s">
        <v>853</v>
      </c>
      <c r="B64" s="1" t="s">
        <v>220</v>
      </c>
      <c r="C64" s="1" t="s">
        <v>10</v>
      </c>
      <c r="D64" s="1" t="s">
        <v>854</v>
      </c>
      <c r="E64" s="1" t="s">
        <v>20</v>
      </c>
      <c r="F64" s="1" t="s">
        <v>855</v>
      </c>
      <c r="G64" s="140">
        <v>2.826E-3</v>
      </c>
      <c r="H64"/>
    </row>
    <row r="65" spans="1:8" x14ac:dyDescent="0.2">
      <c r="A65" s="1" t="s">
        <v>1162</v>
      </c>
      <c r="B65" s="1" t="s">
        <v>220</v>
      </c>
      <c r="C65" s="1" t="s">
        <v>10</v>
      </c>
      <c r="D65" s="1" t="s">
        <v>30</v>
      </c>
      <c r="E65" s="1" t="s">
        <v>20</v>
      </c>
      <c r="F65" s="1" t="s">
        <v>19</v>
      </c>
      <c r="G65" s="140">
        <v>0.103391</v>
      </c>
      <c r="H65"/>
    </row>
    <row r="66" spans="1:8" x14ac:dyDescent="0.2">
      <c r="A66" s="1" t="s">
        <v>856</v>
      </c>
      <c r="B66" s="1" t="s">
        <v>220</v>
      </c>
      <c r="C66" s="1" t="s">
        <v>10</v>
      </c>
      <c r="D66" s="1" t="s">
        <v>773</v>
      </c>
      <c r="E66" s="1" t="s">
        <v>20</v>
      </c>
      <c r="F66" s="1" t="s">
        <v>774</v>
      </c>
      <c r="G66" s="140">
        <v>5.3050000000000002E-5</v>
      </c>
      <c r="H66"/>
    </row>
    <row r="67" spans="1:8" x14ac:dyDescent="0.2">
      <c r="A67" s="1" t="s">
        <v>857</v>
      </c>
      <c r="B67" s="1" t="s">
        <v>220</v>
      </c>
      <c r="C67" s="1" t="s">
        <v>10</v>
      </c>
      <c r="D67" s="1" t="s">
        <v>776</v>
      </c>
      <c r="E67" s="1" t="s">
        <v>20</v>
      </c>
      <c r="F67" s="1" t="s">
        <v>777</v>
      </c>
      <c r="G67" s="140">
        <v>4.2039999999999997E-5</v>
      </c>
      <c r="H67"/>
    </row>
    <row r="68" spans="1:8" x14ac:dyDescent="0.2">
      <c r="A68" s="1" t="s">
        <v>858</v>
      </c>
      <c r="B68" s="1" t="s">
        <v>220</v>
      </c>
      <c r="C68" s="1" t="s">
        <v>10</v>
      </c>
      <c r="D68" s="1" t="s">
        <v>74</v>
      </c>
      <c r="E68" s="1" t="s">
        <v>20</v>
      </c>
      <c r="F68" s="1" t="s">
        <v>758</v>
      </c>
      <c r="G68" s="140">
        <v>1.4530000000000001E-3</v>
      </c>
      <c r="H68"/>
    </row>
    <row r="69" spans="1:8" x14ac:dyDescent="0.2">
      <c r="A69" s="1" t="s">
        <v>859</v>
      </c>
      <c r="B69" s="1" t="s">
        <v>220</v>
      </c>
      <c r="C69" s="1" t="s">
        <v>10</v>
      </c>
      <c r="D69" s="1" t="s">
        <v>76</v>
      </c>
      <c r="E69" s="1" t="s">
        <v>20</v>
      </c>
      <c r="F69" s="1" t="s">
        <v>75</v>
      </c>
      <c r="G69" s="140">
        <v>3.1346E-4</v>
      </c>
      <c r="H69"/>
    </row>
    <row r="70" spans="1:8" x14ac:dyDescent="0.2">
      <c r="A70" s="1" t="s">
        <v>860</v>
      </c>
      <c r="B70" s="1" t="s">
        <v>220</v>
      </c>
      <c r="C70" s="1" t="s">
        <v>10</v>
      </c>
      <c r="D70" s="1" t="s">
        <v>861</v>
      </c>
      <c r="E70" s="1" t="s">
        <v>20</v>
      </c>
      <c r="F70" s="1"/>
      <c r="G70" s="140">
        <v>2.9300000000000002E-4</v>
      </c>
      <c r="H70"/>
    </row>
    <row r="71" spans="1:8" x14ac:dyDescent="0.2">
      <c r="A71" s="1" t="s">
        <v>862</v>
      </c>
      <c r="B71" s="1" t="s">
        <v>220</v>
      </c>
      <c r="C71" s="1" t="s">
        <v>10</v>
      </c>
      <c r="D71" s="1" t="s">
        <v>779</v>
      </c>
      <c r="E71" s="1" t="s">
        <v>20</v>
      </c>
      <c r="F71" s="1" t="s">
        <v>780</v>
      </c>
      <c r="G71" s="140">
        <v>5.9429999999999999E-5</v>
      </c>
      <c r="H71"/>
    </row>
    <row r="72" spans="1:8" x14ac:dyDescent="0.2">
      <c r="A72" s="1" t="s">
        <v>863</v>
      </c>
      <c r="B72" s="1" t="s">
        <v>220</v>
      </c>
      <c r="C72" s="1" t="s">
        <v>10</v>
      </c>
      <c r="D72" s="1" t="s">
        <v>228</v>
      </c>
      <c r="E72" s="1" t="s">
        <v>20</v>
      </c>
      <c r="F72" s="1" t="s">
        <v>229</v>
      </c>
      <c r="G72" s="140">
        <v>6.3940000000000004E-3</v>
      </c>
      <c r="H72"/>
    </row>
    <row r="73" spans="1:8" x14ac:dyDescent="0.2">
      <c r="A73" s="1" t="s">
        <v>864</v>
      </c>
      <c r="B73" s="1" t="s">
        <v>220</v>
      </c>
      <c r="C73" s="1" t="s">
        <v>10</v>
      </c>
      <c r="D73" s="1" t="s">
        <v>55</v>
      </c>
      <c r="E73" s="1" t="s">
        <v>20</v>
      </c>
      <c r="F73" s="1" t="s">
        <v>54</v>
      </c>
      <c r="G73" s="140">
        <v>1.8139999999999999E-5</v>
      </c>
      <c r="H73"/>
    </row>
    <row r="74" spans="1:8" x14ac:dyDescent="0.2">
      <c r="A74" s="1" t="s">
        <v>865</v>
      </c>
      <c r="B74" s="1" t="s">
        <v>220</v>
      </c>
      <c r="C74" s="1" t="s">
        <v>10</v>
      </c>
      <c r="D74" s="1" t="s">
        <v>866</v>
      </c>
      <c r="E74" s="1" t="s">
        <v>20</v>
      </c>
      <c r="F74" s="1" t="s">
        <v>1186</v>
      </c>
      <c r="G74" s="140">
        <v>5.04E-6</v>
      </c>
      <c r="H74"/>
    </row>
    <row r="75" spans="1:8" x14ac:dyDescent="0.2">
      <c r="A75" s="1" t="s">
        <v>867</v>
      </c>
      <c r="B75" s="1" t="s">
        <v>220</v>
      </c>
      <c r="C75" s="1" t="s">
        <v>10</v>
      </c>
      <c r="D75" s="1" t="s">
        <v>868</v>
      </c>
      <c r="E75" s="1" t="s">
        <v>20</v>
      </c>
      <c r="F75" s="1" t="s">
        <v>869</v>
      </c>
      <c r="G75" s="140">
        <v>1.1620000000000001E-5</v>
      </c>
      <c r="H75"/>
    </row>
    <row r="76" spans="1:8" x14ac:dyDescent="0.2">
      <c r="A76" s="1" t="s">
        <v>870</v>
      </c>
      <c r="B76" s="1" t="s">
        <v>220</v>
      </c>
      <c r="C76" s="1" t="s">
        <v>10</v>
      </c>
      <c r="D76" s="1" t="s">
        <v>783</v>
      </c>
      <c r="E76" s="1" t="s">
        <v>20</v>
      </c>
      <c r="F76" s="1" t="s">
        <v>784</v>
      </c>
      <c r="G76" s="140">
        <v>1.5270000000000001E-5</v>
      </c>
      <c r="H76"/>
    </row>
    <row r="77" spans="1:8" x14ac:dyDescent="0.2">
      <c r="A77" s="1" t="s">
        <v>871</v>
      </c>
      <c r="B77" s="1" t="s">
        <v>220</v>
      </c>
      <c r="C77" s="1" t="s">
        <v>10</v>
      </c>
      <c r="D77" s="1" t="s">
        <v>786</v>
      </c>
      <c r="E77" s="1" t="s">
        <v>20</v>
      </c>
      <c r="F77" s="1" t="s">
        <v>787</v>
      </c>
      <c r="G77" s="140">
        <v>8.6400000000000003E-6</v>
      </c>
      <c r="H77"/>
    </row>
    <row r="78" spans="1:8" x14ac:dyDescent="0.2">
      <c r="A78" s="1" t="s">
        <v>872</v>
      </c>
      <c r="B78" s="1" t="s">
        <v>220</v>
      </c>
      <c r="C78" s="1" t="s">
        <v>10</v>
      </c>
      <c r="D78" s="1" t="s">
        <v>873</v>
      </c>
      <c r="E78" s="1" t="s">
        <v>20</v>
      </c>
      <c r="F78" s="1" t="s">
        <v>874</v>
      </c>
      <c r="G78" s="140">
        <v>4.5710000000000001E-5</v>
      </c>
      <c r="H78"/>
    </row>
    <row r="79" spans="1:8" x14ac:dyDescent="0.2">
      <c r="A79" s="1" t="s">
        <v>875</v>
      </c>
      <c r="B79" s="1" t="s">
        <v>220</v>
      </c>
      <c r="C79" s="1" t="s">
        <v>10</v>
      </c>
      <c r="D79" s="1" t="s">
        <v>11</v>
      </c>
      <c r="E79" s="1" t="s">
        <v>20</v>
      </c>
      <c r="F79" s="1" t="s">
        <v>21</v>
      </c>
      <c r="G79" s="140">
        <v>4.6635999999999997E-2</v>
      </c>
      <c r="H79"/>
    </row>
    <row r="80" spans="1:8" x14ac:dyDescent="0.2">
      <c r="A80" s="1" t="s">
        <v>876</v>
      </c>
      <c r="B80" s="1" t="s">
        <v>220</v>
      </c>
      <c r="C80" s="1" t="s">
        <v>10</v>
      </c>
      <c r="D80" s="1" t="s">
        <v>877</v>
      </c>
      <c r="E80" s="1" t="s">
        <v>20</v>
      </c>
      <c r="F80" s="1" t="s">
        <v>878</v>
      </c>
      <c r="G80" s="140">
        <v>3.3999000000000001E-2</v>
      </c>
      <c r="H80"/>
    </row>
    <row r="81" spans="1:8" x14ac:dyDescent="0.2">
      <c r="A81" s="1" t="s">
        <v>879</v>
      </c>
      <c r="B81" s="1" t="s">
        <v>220</v>
      </c>
      <c r="C81" s="1" t="s">
        <v>10</v>
      </c>
      <c r="D81" s="1" t="s">
        <v>789</v>
      </c>
      <c r="E81" s="1" t="s">
        <v>20</v>
      </c>
      <c r="F81" s="1" t="s">
        <v>790</v>
      </c>
      <c r="G81" s="140">
        <v>2.1480000000000001E-5</v>
      </c>
      <c r="H81"/>
    </row>
    <row r="82" spans="1:8" x14ac:dyDescent="0.2">
      <c r="A82" s="1" t="s">
        <v>880</v>
      </c>
      <c r="B82" s="1" t="s">
        <v>220</v>
      </c>
      <c r="C82" s="1" t="s">
        <v>10</v>
      </c>
      <c r="D82" s="1" t="s">
        <v>112</v>
      </c>
      <c r="E82" s="1" t="s">
        <v>20</v>
      </c>
      <c r="F82" s="1" t="s">
        <v>111</v>
      </c>
      <c r="G82" s="140">
        <v>7.08E-6</v>
      </c>
      <c r="H82"/>
    </row>
    <row r="83" spans="1:8" x14ac:dyDescent="0.2">
      <c r="A83" s="1" t="s">
        <v>881</v>
      </c>
      <c r="B83" s="1" t="s">
        <v>220</v>
      </c>
      <c r="C83" s="1" t="s">
        <v>10</v>
      </c>
      <c r="D83" s="1" t="s">
        <v>882</v>
      </c>
      <c r="E83" s="1" t="s">
        <v>20</v>
      </c>
      <c r="F83" s="1" t="s">
        <v>883</v>
      </c>
      <c r="G83" s="140">
        <v>2.1350000000000001E-4</v>
      </c>
      <c r="H83"/>
    </row>
    <row r="84" spans="1:8" x14ac:dyDescent="0.2">
      <c r="A84" s="1" t="s">
        <v>884</v>
      </c>
      <c r="B84" s="1" t="s">
        <v>220</v>
      </c>
      <c r="C84" s="1" t="s">
        <v>10</v>
      </c>
      <c r="D84" s="1" t="s">
        <v>885</v>
      </c>
      <c r="E84" s="1" t="s">
        <v>20</v>
      </c>
      <c r="F84" s="1" t="s">
        <v>886</v>
      </c>
      <c r="G84" s="140">
        <v>7.4289999999999995E-5</v>
      </c>
      <c r="H84"/>
    </row>
    <row r="85" spans="1:8" x14ac:dyDescent="0.2">
      <c r="A85" s="1" t="s">
        <v>887</v>
      </c>
      <c r="B85" s="1" t="s">
        <v>220</v>
      </c>
      <c r="C85" s="1" t="s">
        <v>10</v>
      </c>
      <c r="D85" s="1" t="s">
        <v>232</v>
      </c>
      <c r="E85" s="1" t="s">
        <v>20</v>
      </c>
      <c r="F85" s="1" t="s">
        <v>233</v>
      </c>
      <c r="G85" s="140">
        <v>2.1023E-4</v>
      </c>
      <c r="H85"/>
    </row>
    <row r="86" spans="1:8" x14ac:dyDescent="0.2">
      <c r="A86" s="1" t="s">
        <v>888</v>
      </c>
      <c r="B86" s="1" t="s">
        <v>220</v>
      </c>
      <c r="C86" s="1" t="s">
        <v>10</v>
      </c>
      <c r="D86" s="1" t="s">
        <v>889</v>
      </c>
      <c r="E86" s="1" t="s">
        <v>20</v>
      </c>
      <c r="F86" s="1" t="s">
        <v>890</v>
      </c>
      <c r="G86" s="140">
        <v>1.451E-5</v>
      </c>
      <c r="H86"/>
    </row>
    <row r="87" spans="1:8" x14ac:dyDescent="0.2">
      <c r="A87" s="1" t="s">
        <v>891</v>
      </c>
      <c r="B87" s="1" t="s">
        <v>220</v>
      </c>
      <c r="C87" s="1" t="s">
        <v>10</v>
      </c>
      <c r="D87" s="1" t="s">
        <v>892</v>
      </c>
      <c r="E87" s="1" t="s">
        <v>20</v>
      </c>
      <c r="F87" s="1" t="s">
        <v>892</v>
      </c>
      <c r="G87" s="140">
        <v>8.5298000000000004E-4</v>
      </c>
      <c r="H87"/>
    </row>
    <row r="88" spans="1:8" x14ac:dyDescent="0.2">
      <c r="A88" s="1" t="s">
        <v>893</v>
      </c>
      <c r="B88" s="1" t="s">
        <v>220</v>
      </c>
      <c r="C88" s="1" t="s">
        <v>10</v>
      </c>
      <c r="D88" s="1" t="s">
        <v>35</v>
      </c>
      <c r="E88" s="1" t="s">
        <v>20</v>
      </c>
      <c r="F88" s="1" t="s">
        <v>34</v>
      </c>
      <c r="G88" s="140">
        <v>2.0999999999999999E-3</v>
      </c>
      <c r="H88"/>
    </row>
    <row r="89" spans="1:8" x14ac:dyDescent="0.2">
      <c r="A89" s="1" t="s">
        <v>894</v>
      </c>
      <c r="B89" s="1" t="s">
        <v>220</v>
      </c>
      <c r="C89" s="1" t="s">
        <v>10</v>
      </c>
      <c r="D89" s="1" t="s">
        <v>9</v>
      </c>
      <c r="E89" s="1" t="s">
        <v>20</v>
      </c>
      <c r="F89" s="1" t="s">
        <v>29</v>
      </c>
      <c r="G89" s="140">
        <v>5.4862000000000001E-2</v>
      </c>
      <c r="H89"/>
    </row>
    <row r="90" spans="1:8" x14ac:dyDescent="0.2">
      <c r="A90" s="1" t="s">
        <v>895</v>
      </c>
      <c r="B90" s="1" t="s">
        <v>220</v>
      </c>
      <c r="C90" s="1" t="s">
        <v>10</v>
      </c>
      <c r="D90" s="1" t="s">
        <v>896</v>
      </c>
      <c r="E90" s="1" t="s">
        <v>20</v>
      </c>
      <c r="F90" s="1" t="s">
        <v>897</v>
      </c>
      <c r="G90" s="140">
        <v>1.4454999999999999E-4</v>
      </c>
      <c r="H90"/>
    </row>
    <row r="91" spans="1:8" x14ac:dyDescent="0.2">
      <c r="A91" s="1" t="s">
        <v>898</v>
      </c>
      <c r="B91" s="1" t="s">
        <v>220</v>
      </c>
      <c r="C91" s="1" t="s">
        <v>10</v>
      </c>
      <c r="D91" s="1" t="s">
        <v>899</v>
      </c>
      <c r="E91" s="1" t="s">
        <v>20</v>
      </c>
      <c r="F91" s="1" t="s">
        <v>900</v>
      </c>
      <c r="G91" s="140">
        <v>8.2099999999999993E-6</v>
      </c>
      <c r="H91"/>
    </row>
    <row r="92" spans="1:8" x14ac:dyDescent="0.2">
      <c r="A92" s="1" t="s">
        <v>901</v>
      </c>
      <c r="B92" s="1" t="s">
        <v>220</v>
      </c>
      <c r="C92" s="1" t="s">
        <v>10</v>
      </c>
      <c r="D92" s="1" t="s">
        <v>73</v>
      </c>
      <c r="E92" s="1" t="s">
        <v>20</v>
      </c>
      <c r="F92" s="1" t="s">
        <v>72</v>
      </c>
      <c r="G92" s="140">
        <v>4.4700000000000004E-6</v>
      </c>
      <c r="H92"/>
    </row>
    <row r="93" spans="1:8" x14ac:dyDescent="0.2">
      <c r="A93" s="1" t="s">
        <v>902</v>
      </c>
      <c r="B93" s="1" t="s">
        <v>220</v>
      </c>
      <c r="C93" s="1" t="s">
        <v>10</v>
      </c>
      <c r="D93" s="1" t="s">
        <v>50</v>
      </c>
      <c r="E93" s="1" t="s">
        <v>20</v>
      </c>
      <c r="F93" s="1" t="s">
        <v>641</v>
      </c>
      <c r="G93" s="140">
        <v>2.2859999999999998E-3</v>
      </c>
      <c r="H93"/>
    </row>
    <row r="94" spans="1:8" x14ac:dyDescent="0.2">
      <c r="A94" s="1" t="s">
        <v>903</v>
      </c>
      <c r="B94" s="1" t="s">
        <v>220</v>
      </c>
      <c r="C94" s="1" t="s">
        <v>10</v>
      </c>
      <c r="D94" s="1" t="s">
        <v>792</v>
      </c>
      <c r="E94" s="1" t="s">
        <v>20</v>
      </c>
      <c r="F94" s="1" t="s">
        <v>793</v>
      </c>
      <c r="G94" s="140">
        <v>2.639E-5</v>
      </c>
      <c r="H94"/>
    </row>
    <row r="95" spans="1:8" x14ac:dyDescent="0.2">
      <c r="A95" s="1" t="s">
        <v>904</v>
      </c>
      <c r="B95" s="1" t="s">
        <v>220</v>
      </c>
      <c r="C95" s="1" t="s">
        <v>10</v>
      </c>
      <c r="D95" s="1" t="s">
        <v>905</v>
      </c>
      <c r="E95" s="1" t="s">
        <v>20</v>
      </c>
      <c r="F95" s="1" t="s">
        <v>906</v>
      </c>
      <c r="G95" s="140">
        <v>2.947E-3</v>
      </c>
      <c r="H95"/>
    </row>
    <row r="96" spans="1:8" x14ac:dyDescent="0.2">
      <c r="A96" s="1" t="s">
        <v>907</v>
      </c>
      <c r="B96" s="1" t="s">
        <v>220</v>
      </c>
      <c r="C96" s="1" t="s">
        <v>10</v>
      </c>
      <c r="D96" s="1" t="s">
        <v>908</v>
      </c>
      <c r="E96" s="1" t="s">
        <v>20</v>
      </c>
      <c r="F96" s="1" t="s">
        <v>1187</v>
      </c>
      <c r="G96" s="140">
        <v>3.7350000000000003E-4</v>
      </c>
      <c r="H96"/>
    </row>
    <row r="97" spans="1:8" x14ac:dyDescent="0.2">
      <c r="A97" s="1" t="s">
        <v>909</v>
      </c>
      <c r="B97" s="1" t="s">
        <v>220</v>
      </c>
      <c r="C97" s="1" t="s">
        <v>10</v>
      </c>
      <c r="D97" s="1" t="s">
        <v>910</v>
      </c>
      <c r="E97" s="1" t="s">
        <v>20</v>
      </c>
      <c r="F97" s="1" t="s">
        <v>911</v>
      </c>
      <c r="G97" s="140">
        <v>8.0099999999999995E-4</v>
      </c>
      <c r="H97"/>
    </row>
    <row r="98" spans="1:8" x14ac:dyDescent="0.2">
      <c r="A98" s="1" t="s">
        <v>912</v>
      </c>
      <c r="B98" s="1" t="s">
        <v>220</v>
      </c>
      <c r="C98" s="1" t="s">
        <v>10</v>
      </c>
      <c r="D98" s="1" t="s">
        <v>913</v>
      </c>
      <c r="E98" s="1" t="s">
        <v>20</v>
      </c>
      <c r="F98" s="1" t="s">
        <v>914</v>
      </c>
      <c r="G98" s="140">
        <v>1.093E-4</v>
      </c>
      <c r="H98"/>
    </row>
    <row r="99" spans="1:8" x14ac:dyDescent="0.2">
      <c r="A99" s="1" t="s">
        <v>915</v>
      </c>
      <c r="B99" s="1" t="s">
        <v>220</v>
      </c>
      <c r="C99" s="1" t="s">
        <v>10</v>
      </c>
      <c r="D99" s="1" t="s">
        <v>795</v>
      </c>
      <c r="E99" s="1" t="s">
        <v>20</v>
      </c>
      <c r="F99" s="1" t="s">
        <v>796</v>
      </c>
      <c r="G99" s="140">
        <v>3.2170000000000001E-4</v>
      </c>
      <c r="H99"/>
    </row>
    <row r="100" spans="1:8" x14ac:dyDescent="0.2">
      <c r="A100" s="1" t="s">
        <v>916</v>
      </c>
      <c r="B100" s="1" t="s">
        <v>220</v>
      </c>
      <c r="C100" s="1" t="s">
        <v>10</v>
      </c>
      <c r="D100" s="1" t="s">
        <v>917</v>
      </c>
      <c r="E100" s="1" t="s">
        <v>20</v>
      </c>
      <c r="F100" s="1" t="s">
        <v>918</v>
      </c>
      <c r="G100" s="140">
        <v>1.527E-4</v>
      </c>
      <c r="H100"/>
    </row>
    <row r="101" spans="1:8" x14ac:dyDescent="0.2">
      <c r="A101" s="1" t="s">
        <v>919</v>
      </c>
      <c r="B101" s="1" t="s">
        <v>220</v>
      </c>
      <c r="C101" s="1" t="s">
        <v>10</v>
      </c>
      <c r="D101" s="1" t="s">
        <v>920</v>
      </c>
      <c r="E101" s="1" t="s">
        <v>20</v>
      </c>
      <c r="F101" s="1" t="s">
        <v>921</v>
      </c>
      <c r="G101" s="140">
        <v>3.4999999999999999E-6</v>
      </c>
      <c r="H101"/>
    </row>
    <row r="102" spans="1:8" x14ac:dyDescent="0.2">
      <c r="A102" s="1" t="s">
        <v>922</v>
      </c>
      <c r="B102" s="1" t="s">
        <v>220</v>
      </c>
      <c r="C102" s="1" t="s">
        <v>10</v>
      </c>
      <c r="D102" s="1" t="s">
        <v>31</v>
      </c>
      <c r="E102" s="1" t="s">
        <v>20</v>
      </c>
      <c r="F102" s="1" t="s">
        <v>31</v>
      </c>
      <c r="G102" s="140">
        <v>1.5483000000000001E-4</v>
      </c>
      <c r="H102"/>
    </row>
    <row r="103" spans="1:8" x14ac:dyDescent="0.2">
      <c r="A103" s="1" t="s">
        <v>923</v>
      </c>
      <c r="B103" s="1" t="s">
        <v>220</v>
      </c>
      <c r="C103" s="1" t="s">
        <v>10</v>
      </c>
      <c r="D103" s="1" t="s">
        <v>60</v>
      </c>
      <c r="E103" s="1" t="s">
        <v>20</v>
      </c>
      <c r="F103" s="1" t="s">
        <v>59</v>
      </c>
      <c r="G103" s="140">
        <v>3.3940000000000001E-4</v>
      </c>
      <c r="H103"/>
    </row>
    <row r="104" spans="1:8" x14ac:dyDescent="0.2">
      <c r="A104" s="1" t="s">
        <v>924</v>
      </c>
      <c r="B104" s="1" t="s">
        <v>220</v>
      </c>
      <c r="C104" s="1" t="s">
        <v>10</v>
      </c>
      <c r="D104" s="1" t="s">
        <v>925</v>
      </c>
      <c r="E104" s="1" t="s">
        <v>20</v>
      </c>
      <c r="F104" s="1" t="s">
        <v>926</v>
      </c>
      <c r="G104" s="140">
        <v>1.4097E-4</v>
      </c>
      <c r="H104"/>
    </row>
    <row r="105" spans="1:8" x14ac:dyDescent="0.2">
      <c r="A105" s="1" t="s">
        <v>927</v>
      </c>
      <c r="B105" s="1" t="s">
        <v>220</v>
      </c>
      <c r="C105" s="1" t="s">
        <v>10</v>
      </c>
      <c r="D105" s="1" t="s">
        <v>928</v>
      </c>
      <c r="E105" s="1" t="s">
        <v>20</v>
      </c>
      <c r="F105" s="1" t="s">
        <v>929</v>
      </c>
      <c r="G105" s="140">
        <v>6.2899999999999999E-6</v>
      </c>
      <c r="H105"/>
    </row>
    <row r="106" spans="1:8" x14ac:dyDescent="0.2">
      <c r="A106" s="1" t="s">
        <v>930</v>
      </c>
      <c r="B106" s="1" t="s">
        <v>220</v>
      </c>
      <c r="C106" s="1" t="s">
        <v>10</v>
      </c>
      <c r="D106" s="1" t="s">
        <v>931</v>
      </c>
      <c r="E106" s="1" t="s">
        <v>20</v>
      </c>
      <c r="F106" s="1" t="s">
        <v>932</v>
      </c>
      <c r="G106" s="140">
        <v>4.0620000000000001E-5</v>
      </c>
      <c r="H106"/>
    </row>
    <row r="107" spans="1:8" x14ac:dyDescent="0.2">
      <c r="A107" s="1" t="s">
        <v>933</v>
      </c>
      <c r="B107" s="1" t="s">
        <v>220</v>
      </c>
      <c r="C107" s="1" t="s">
        <v>10</v>
      </c>
      <c r="D107" s="1" t="s">
        <v>934</v>
      </c>
      <c r="E107" s="1" t="s">
        <v>20</v>
      </c>
      <c r="F107" s="1" t="s">
        <v>935</v>
      </c>
      <c r="G107" s="140">
        <v>5.4620000000000002E-5</v>
      </c>
      <c r="H107"/>
    </row>
    <row r="108" spans="1:8" x14ac:dyDescent="0.2">
      <c r="A108" s="1" t="s">
        <v>936</v>
      </c>
      <c r="B108" s="1" t="s">
        <v>220</v>
      </c>
      <c r="C108" s="1" t="s">
        <v>10</v>
      </c>
      <c r="D108" s="1" t="s">
        <v>37</v>
      </c>
      <c r="E108" s="1" t="s">
        <v>20</v>
      </c>
      <c r="F108" s="1" t="s">
        <v>36</v>
      </c>
      <c r="G108" s="140">
        <v>1.0560000000000001E-3</v>
      </c>
      <c r="H108"/>
    </row>
    <row r="109" spans="1:8" x14ac:dyDescent="0.2">
      <c r="A109" s="1" t="s">
        <v>937</v>
      </c>
      <c r="B109" s="1" t="s">
        <v>220</v>
      </c>
      <c r="C109" s="1" t="s">
        <v>10</v>
      </c>
      <c r="D109" s="1" t="s">
        <v>13</v>
      </c>
      <c r="E109" s="1" t="s">
        <v>20</v>
      </c>
      <c r="F109" s="1" t="s">
        <v>23</v>
      </c>
      <c r="G109" s="140">
        <v>1.6397999999999999E-2</v>
      </c>
      <c r="H109"/>
    </row>
    <row r="110" spans="1:8" x14ac:dyDescent="0.2">
      <c r="A110" s="1" t="s">
        <v>938</v>
      </c>
      <c r="B110" s="1" t="s">
        <v>220</v>
      </c>
      <c r="C110" s="1" t="s">
        <v>10</v>
      </c>
      <c r="D110" s="1" t="s">
        <v>570</v>
      </c>
      <c r="E110" s="1" t="s">
        <v>20</v>
      </c>
      <c r="F110" s="1" t="s">
        <v>118</v>
      </c>
      <c r="G110" s="140">
        <v>1.0748999999999999E-3</v>
      </c>
      <c r="H110"/>
    </row>
    <row r="111" spans="1:8" x14ac:dyDescent="0.2">
      <c r="A111" s="1" t="s">
        <v>939</v>
      </c>
      <c r="B111" s="1" t="s">
        <v>220</v>
      </c>
      <c r="C111" s="1" t="s">
        <v>10</v>
      </c>
      <c r="D111" s="1" t="s">
        <v>182</v>
      </c>
      <c r="E111" s="1" t="s">
        <v>20</v>
      </c>
      <c r="F111" s="1" t="s">
        <v>181</v>
      </c>
      <c r="G111" s="140">
        <v>9.6500000000000008E-6</v>
      </c>
      <c r="H111"/>
    </row>
    <row r="112" spans="1:8" x14ac:dyDescent="0.2">
      <c r="A112" s="1" t="s">
        <v>940</v>
      </c>
      <c r="B112" s="1" t="s">
        <v>220</v>
      </c>
      <c r="C112" s="1" t="s">
        <v>10</v>
      </c>
      <c r="D112" s="1" t="s">
        <v>6</v>
      </c>
      <c r="E112" s="1" t="s">
        <v>20</v>
      </c>
      <c r="F112" s="1" t="s">
        <v>77</v>
      </c>
      <c r="G112" s="140">
        <v>6.5399999999999996E-4</v>
      </c>
      <c r="H112"/>
    </row>
    <row r="113" spans="1:8" x14ac:dyDescent="0.2">
      <c r="A113" s="1" t="s">
        <v>941</v>
      </c>
      <c r="B113" s="1" t="s">
        <v>220</v>
      </c>
      <c r="C113" s="1" t="s">
        <v>10</v>
      </c>
      <c r="D113" s="1" t="s">
        <v>942</v>
      </c>
      <c r="E113" s="1" t="s">
        <v>20</v>
      </c>
      <c r="F113" s="1" t="s">
        <v>943</v>
      </c>
      <c r="G113" s="140">
        <v>1.0441E-4</v>
      </c>
      <c r="H113"/>
    </row>
    <row r="114" spans="1:8" x14ac:dyDescent="0.2">
      <c r="A114" s="1" t="s">
        <v>944</v>
      </c>
      <c r="B114" s="1" t="s">
        <v>220</v>
      </c>
      <c r="C114" s="1" t="s">
        <v>10</v>
      </c>
      <c r="D114" s="1" t="s">
        <v>945</v>
      </c>
      <c r="E114" s="1" t="s">
        <v>20</v>
      </c>
      <c r="F114" s="1" t="s">
        <v>946</v>
      </c>
      <c r="G114" s="140">
        <v>2.698E-4</v>
      </c>
      <c r="H114"/>
    </row>
    <row r="115" spans="1:8" x14ac:dyDescent="0.2">
      <c r="A115" s="1" t="s">
        <v>947</v>
      </c>
      <c r="B115" s="1" t="s">
        <v>220</v>
      </c>
      <c r="C115" s="1" t="s">
        <v>10</v>
      </c>
      <c r="D115" s="1" t="s">
        <v>948</v>
      </c>
      <c r="E115" s="1" t="s">
        <v>20</v>
      </c>
      <c r="F115" s="1" t="s">
        <v>949</v>
      </c>
      <c r="G115" s="140">
        <v>1.36E-5</v>
      </c>
      <c r="H115"/>
    </row>
    <row r="116" spans="1:8" x14ac:dyDescent="0.2">
      <c r="A116" s="1" t="s">
        <v>950</v>
      </c>
      <c r="B116" s="1" t="s">
        <v>220</v>
      </c>
      <c r="C116" s="1" t="s">
        <v>10</v>
      </c>
      <c r="D116" s="1" t="s">
        <v>62</v>
      </c>
      <c r="E116" s="1" t="s">
        <v>20</v>
      </c>
      <c r="F116" s="1" t="s">
        <v>61</v>
      </c>
      <c r="G116" s="140">
        <v>5.2039999999999996E-4</v>
      </c>
      <c r="H116"/>
    </row>
    <row r="117" spans="1:8" x14ac:dyDescent="0.2">
      <c r="A117" s="1" t="s">
        <v>951</v>
      </c>
      <c r="B117" s="1" t="s">
        <v>220</v>
      </c>
      <c r="C117" s="1" t="s">
        <v>10</v>
      </c>
      <c r="D117" s="1" t="s">
        <v>802</v>
      </c>
      <c r="E117" s="1" t="s">
        <v>20</v>
      </c>
      <c r="F117" s="1" t="s">
        <v>1148</v>
      </c>
      <c r="G117" s="140">
        <v>7.7010000000000002E-4</v>
      </c>
      <c r="H117"/>
    </row>
    <row r="118" spans="1:8" x14ac:dyDescent="0.2">
      <c r="A118" s="1" t="s">
        <v>952</v>
      </c>
      <c r="B118" s="1" t="s">
        <v>220</v>
      </c>
      <c r="C118" s="1" t="s">
        <v>10</v>
      </c>
      <c r="D118" s="1" t="s">
        <v>577</v>
      </c>
      <c r="E118" s="1" t="s">
        <v>20</v>
      </c>
      <c r="F118" s="1" t="s">
        <v>1174</v>
      </c>
      <c r="G118" s="140">
        <v>1.192E-4</v>
      </c>
      <c r="H118"/>
    </row>
    <row r="119" spans="1:8" x14ac:dyDescent="0.2">
      <c r="A119" s="1" t="s">
        <v>1188</v>
      </c>
      <c r="B119" s="1" t="s">
        <v>220</v>
      </c>
      <c r="C119" s="1" t="s">
        <v>10</v>
      </c>
      <c r="D119" s="1" t="s">
        <v>1176</v>
      </c>
      <c r="E119" s="1" t="s">
        <v>20</v>
      </c>
      <c r="F119" s="1" t="s">
        <v>1177</v>
      </c>
      <c r="G119" s="140">
        <v>4.0799999999999999E-6</v>
      </c>
      <c r="H119"/>
    </row>
    <row r="120" spans="1:8" x14ac:dyDescent="0.2">
      <c r="A120" s="1" t="s">
        <v>953</v>
      </c>
      <c r="B120" s="1" t="s">
        <v>220</v>
      </c>
      <c r="C120" s="1" t="s">
        <v>10</v>
      </c>
      <c r="D120" s="1" t="s">
        <v>805</v>
      </c>
      <c r="E120" s="1" t="s">
        <v>20</v>
      </c>
      <c r="F120" s="1" t="s">
        <v>806</v>
      </c>
      <c r="G120" s="140">
        <v>1.1084000000000001E-3</v>
      </c>
      <c r="H120"/>
    </row>
    <row r="121" spans="1:8" x14ac:dyDescent="0.2">
      <c r="A121" s="1" t="s">
        <v>954</v>
      </c>
      <c r="B121" s="1" t="s">
        <v>220</v>
      </c>
      <c r="C121" s="1" t="s">
        <v>10</v>
      </c>
      <c r="D121" s="1" t="s">
        <v>14</v>
      </c>
      <c r="E121" s="1" t="s">
        <v>20</v>
      </c>
      <c r="F121" s="1" t="s">
        <v>14</v>
      </c>
      <c r="G121" s="140">
        <v>7.3489999999999996E-3</v>
      </c>
      <c r="H121"/>
    </row>
    <row r="122" spans="1:8" x14ac:dyDescent="0.2">
      <c r="A122" s="1" t="s">
        <v>955</v>
      </c>
      <c r="B122" s="1" t="s">
        <v>220</v>
      </c>
      <c r="C122" s="1" t="s">
        <v>10</v>
      </c>
      <c r="D122" s="1" t="s">
        <v>809</v>
      </c>
      <c r="E122" s="1" t="s">
        <v>20</v>
      </c>
      <c r="F122" s="1" t="s">
        <v>810</v>
      </c>
      <c r="G122" s="140">
        <v>3.0166999999999998E-4</v>
      </c>
      <c r="H122"/>
    </row>
    <row r="123" spans="1:8" x14ac:dyDescent="0.2">
      <c r="A123" s="1" t="s">
        <v>956</v>
      </c>
      <c r="B123" s="1" t="s">
        <v>220</v>
      </c>
      <c r="C123" s="1" t="s">
        <v>10</v>
      </c>
      <c r="D123" s="1" t="s">
        <v>957</v>
      </c>
      <c r="E123" s="1" t="s">
        <v>20</v>
      </c>
      <c r="F123" s="1" t="s">
        <v>957</v>
      </c>
      <c r="G123" s="140">
        <v>6.3800000000000006E-5</v>
      </c>
      <c r="H123"/>
    </row>
    <row r="124" spans="1:8" x14ac:dyDescent="0.2">
      <c r="A124" s="1" t="s">
        <v>958</v>
      </c>
      <c r="B124" s="1" t="s">
        <v>220</v>
      </c>
      <c r="C124" s="1" t="s">
        <v>10</v>
      </c>
      <c r="D124" s="1" t="s">
        <v>15</v>
      </c>
      <c r="E124" s="1" t="s">
        <v>20</v>
      </c>
      <c r="F124" s="1" t="s">
        <v>24</v>
      </c>
      <c r="G124" s="140">
        <v>1.181E-3</v>
      </c>
      <c r="H124"/>
    </row>
    <row r="125" spans="1:8" x14ac:dyDescent="0.2">
      <c r="A125" s="1" t="s">
        <v>1189</v>
      </c>
      <c r="B125" s="1" t="s">
        <v>220</v>
      </c>
      <c r="C125" s="1" t="s">
        <v>10</v>
      </c>
      <c r="D125" s="1" t="s">
        <v>1173</v>
      </c>
      <c r="E125" s="1" t="s">
        <v>20</v>
      </c>
      <c r="F125" s="1" t="s">
        <v>1179</v>
      </c>
      <c r="G125" s="140">
        <v>3.1335999999999999E-4</v>
      </c>
      <c r="H125"/>
    </row>
    <row r="126" spans="1:8" x14ac:dyDescent="0.2">
      <c r="A126" s="1" t="s">
        <v>959</v>
      </c>
      <c r="B126" s="1" t="s">
        <v>220</v>
      </c>
      <c r="C126" s="1" t="s">
        <v>10</v>
      </c>
      <c r="D126" s="1" t="s">
        <v>812</v>
      </c>
      <c r="E126" s="1" t="s">
        <v>20</v>
      </c>
      <c r="F126" s="1" t="s">
        <v>812</v>
      </c>
      <c r="G126" s="140">
        <v>1.9049999999999999E-5</v>
      </c>
      <c r="H126"/>
    </row>
    <row r="127" spans="1:8" x14ac:dyDescent="0.2">
      <c r="A127" s="1" t="s">
        <v>960</v>
      </c>
      <c r="B127" s="1" t="s">
        <v>220</v>
      </c>
      <c r="C127" s="1" t="s">
        <v>10</v>
      </c>
      <c r="D127" s="1" t="s">
        <v>588</v>
      </c>
      <c r="E127" s="1" t="s">
        <v>20</v>
      </c>
      <c r="F127" s="1" t="s">
        <v>588</v>
      </c>
      <c r="G127" s="140">
        <v>4.8970000000000003E-4</v>
      </c>
      <c r="H127"/>
    </row>
    <row r="128" spans="1:8" x14ac:dyDescent="0.2">
      <c r="A128" s="1" t="s">
        <v>1190</v>
      </c>
      <c r="B128" s="1" t="s">
        <v>220</v>
      </c>
      <c r="C128" s="1" t="s">
        <v>10</v>
      </c>
      <c r="D128" s="1" t="s">
        <v>1181</v>
      </c>
      <c r="E128" s="1" t="s">
        <v>20</v>
      </c>
      <c r="F128" s="1" t="s">
        <v>1182</v>
      </c>
      <c r="G128" s="140">
        <v>5.4370000000000003E-5</v>
      </c>
      <c r="H128"/>
    </row>
    <row r="129" spans="1:8" x14ac:dyDescent="0.2">
      <c r="A129" s="1" t="s">
        <v>961</v>
      </c>
      <c r="B129" s="1" t="s">
        <v>220</v>
      </c>
      <c r="C129" s="1" t="s">
        <v>10</v>
      </c>
      <c r="D129" s="1" t="s">
        <v>962</v>
      </c>
      <c r="E129" s="1" t="s">
        <v>20</v>
      </c>
      <c r="F129" s="1" t="s">
        <v>963</v>
      </c>
      <c r="G129" s="140">
        <v>3.8099999999999999E-6</v>
      </c>
      <c r="H129"/>
    </row>
    <row r="130" spans="1:8" x14ac:dyDescent="0.2">
      <c r="A130" s="1" t="s">
        <v>964</v>
      </c>
      <c r="B130" s="1" t="s">
        <v>220</v>
      </c>
      <c r="C130" s="1" t="s">
        <v>10</v>
      </c>
      <c r="D130" s="1" t="s">
        <v>221</v>
      </c>
      <c r="E130" s="1" t="s">
        <v>20</v>
      </c>
      <c r="F130" s="1" t="s">
        <v>649</v>
      </c>
      <c r="G130" s="140">
        <v>3.9990000000000002E-5</v>
      </c>
      <c r="H130"/>
    </row>
    <row r="131" spans="1:8" x14ac:dyDescent="0.2">
      <c r="A131" s="1" t="s">
        <v>965</v>
      </c>
      <c r="B131" s="1" t="s">
        <v>220</v>
      </c>
      <c r="C131" s="1" t="s">
        <v>10</v>
      </c>
      <c r="D131" s="1" t="s">
        <v>966</v>
      </c>
      <c r="E131" s="1" t="s">
        <v>20</v>
      </c>
      <c r="F131" s="1" t="s">
        <v>967</v>
      </c>
      <c r="G131" s="140">
        <v>1.7279000000000001E-3</v>
      </c>
      <c r="H131"/>
    </row>
    <row r="132" spans="1:8" x14ac:dyDescent="0.2">
      <c r="A132" s="1" t="s">
        <v>1234</v>
      </c>
      <c r="B132" s="1" t="s">
        <v>220</v>
      </c>
      <c r="C132" s="1" t="s">
        <v>10</v>
      </c>
      <c r="D132" s="1" t="s">
        <v>1235</v>
      </c>
      <c r="E132" s="1" t="s">
        <v>20</v>
      </c>
      <c r="F132" s="1" t="s">
        <v>1236</v>
      </c>
      <c r="G132" s="140">
        <v>2.1180000000000001E-5</v>
      </c>
      <c r="H132"/>
    </row>
    <row r="133" spans="1:8" x14ac:dyDescent="0.2">
      <c r="A133" s="1" t="s">
        <v>968</v>
      </c>
      <c r="B133" s="1" t="s">
        <v>220</v>
      </c>
      <c r="C133" s="1" t="s">
        <v>10</v>
      </c>
      <c r="D133" s="1" t="s">
        <v>816</v>
      </c>
      <c r="E133" s="1" t="s">
        <v>20</v>
      </c>
      <c r="F133" s="1" t="s">
        <v>817</v>
      </c>
      <c r="G133" s="140">
        <v>1.5E-5</v>
      </c>
      <c r="H133"/>
    </row>
    <row r="134" spans="1:8" x14ac:dyDescent="0.2">
      <c r="A134" s="1" t="s">
        <v>969</v>
      </c>
      <c r="B134" s="1" t="s">
        <v>220</v>
      </c>
      <c r="C134" s="1" t="s">
        <v>10</v>
      </c>
      <c r="D134" s="1" t="s">
        <v>39</v>
      </c>
      <c r="E134" s="1" t="s">
        <v>20</v>
      </c>
      <c r="F134" s="1" t="s">
        <v>38</v>
      </c>
      <c r="G134" s="140">
        <v>2.003E-3</v>
      </c>
      <c r="H134"/>
    </row>
    <row r="135" spans="1:8" x14ac:dyDescent="0.2">
      <c r="A135" s="1" t="s">
        <v>970</v>
      </c>
      <c r="B135" s="1" t="s">
        <v>220</v>
      </c>
      <c r="C135" s="1" t="s">
        <v>10</v>
      </c>
      <c r="D135" s="1" t="s">
        <v>187</v>
      </c>
      <c r="E135" s="1" t="s">
        <v>20</v>
      </c>
      <c r="F135" s="1" t="s">
        <v>215</v>
      </c>
      <c r="G135" s="140">
        <v>1.15E-5</v>
      </c>
      <c r="H135"/>
    </row>
    <row r="136" spans="1:8" x14ac:dyDescent="0.2">
      <c r="A136" s="1" t="s">
        <v>971</v>
      </c>
      <c r="B136" s="1" t="s">
        <v>220</v>
      </c>
      <c r="C136" s="1" t="s">
        <v>10</v>
      </c>
      <c r="D136" s="1" t="s">
        <v>820</v>
      </c>
      <c r="E136" s="1" t="s">
        <v>20</v>
      </c>
      <c r="F136" s="1" t="s">
        <v>821</v>
      </c>
      <c r="G136" s="140">
        <v>1.9782E-4</v>
      </c>
      <c r="H136"/>
    </row>
    <row r="137" spans="1:8" x14ac:dyDescent="0.2">
      <c r="A137" s="1" t="s">
        <v>972</v>
      </c>
      <c r="B137" s="1" t="s">
        <v>220</v>
      </c>
      <c r="C137" s="1" t="s">
        <v>10</v>
      </c>
      <c r="D137" s="1" t="s">
        <v>235</v>
      </c>
      <c r="E137" s="1" t="s">
        <v>20</v>
      </c>
      <c r="F137" s="1" t="s">
        <v>973</v>
      </c>
      <c r="G137" s="140">
        <v>2.5000000000000001E-5</v>
      </c>
      <c r="H137"/>
    </row>
    <row r="138" spans="1:8" x14ac:dyDescent="0.2">
      <c r="A138" s="1" t="s">
        <v>974</v>
      </c>
      <c r="B138" s="1" t="s">
        <v>220</v>
      </c>
      <c r="C138" s="1" t="s">
        <v>10</v>
      </c>
      <c r="D138" s="1" t="s">
        <v>600</v>
      </c>
      <c r="E138" s="1" t="s">
        <v>20</v>
      </c>
      <c r="F138" s="1" t="s">
        <v>669</v>
      </c>
      <c r="G138" s="140">
        <v>1.159E-4</v>
      </c>
      <c r="H138"/>
    </row>
    <row r="139" spans="1:8" x14ac:dyDescent="0.2">
      <c r="A139" s="1" t="s">
        <v>1132</v>
      </c>
      <c r="B139" s="1" t="s">
        <v>220</v>
      </c>
      <c r="C139" s="1" t="s">
        <v>10</v>
      </c>
      <c r="D139" s="1" t="s">
        <v>1130</v>
      </c>
      <c r="E139" s="1" t="s">
        <v>20</v>
      </c>
      <c r="F139" s="1" t="s">
        <v>1131</v>
      </c>
      <c r="G139" s="140">
        <v>1.026E-5</v>
      </c>
      <c r="H139"/>
    </row>
    <row r="140" spans="1:8" x14ac:dyDescent="0.2">
      <c r="A140" s="1" t="s">
        <v>975</v>
      </c>
      <c r="B140" s="1" t="s">
        <v>220</v>
      </c>
      <c r="C140" s="1" t="s">
        <v>10</v>
      </c>
      <c r="D140" s="1" t="s">
        <v>194</v>
      </c>
      <c r="E140" s="1" t="s">
        <v>20</v>
      </c>
      <c r="F140" s="1" t="s">
        <v>194</v>
      </c>
      <c r="G140" s="140">
        <v>2.9849999999999999E-4</v>
      </c>
      <c r="H140"/>
    </row>
    <row r="141" spans="1:8" x14ac:dyDescent="0.2">
      <c r="A141" s="1" t="s">
        <v>976</v>
      </c>
      <c r="B141" s="1" t="s">
        <v>220</v>
      </c>
      <c r="C141" s="1" t="s">
        <v>10</v>
      </c>
      <c r="D141" s="1" t="s">
        <v>977</v>
      </c>
      <c r="E141" s="1" t="s">
        <v>20</v>
      </c>
      <c r="F141" s="1" t="s">
        <v>978</v>
      </c>
      <c r="G141" s="140">
        <v>7.4499999999999998E-6</v>
      </c>
      <c r="H141"/>
    </row>
    <row r="142" spans="1:8" x14ac:dyDescent="0.2">
      <c r="A142" s="1" t="s">
        <v>979</v>
      </c>
      <c r="B142" s="1" t="s">
        <v>220</v>
      </c>
      <c r="C142" s="1" t="s">
        <v>10</v>
      </c>
      <c r="D142" s="1" t="s">
        <v>980</v>
      </c>
      <c r="E142" s="1" t="s">
        <v>20</v>
      </c>
      <c r="F142" s="1" t="s">
        <v>981</v>
      </c>
      <c r="G142" s="140">
        <v>1.448E-5</v>
      </c>
      <c r="H142"/>
    </row>
    <row r="143" spans="1:8" x14ac:dyDescent="0.2">
      <c r="A143" s="1" t="s">
        <v>982</v>
      </c>
      <c r="B143" s="1" t="s">
        <v>220</v>
      </c>
      <c r="C143" s="1" t="s">
        <v>10</v>
      </c>
      <c r="D143" s="1" t="s">
        <v>78</v>
      </c>
      <c r="E143" s="1" t="s">
        <v>20</v>
      </c>
      <c r="F143" s="1" t="s">
        <v>650</v>
      </c>
      <c r="G143" s="140">
        <v>1.206E-5</v>
      </c>
      <c r="H143"/>
    </row>
    <row r="144" spans="1:8" x14ac:dyDescent="0.2">
      <c r="A144" s="1" t="s">
        <v>983</v>
      </c>
      <c r="B144" s="1" t="s">
        <v>220</v>
      </c>
      <c r="C144" s="1" t="s">
        <v>10</v>
      </c>
      <c r="D144" s="1" t="s">
        <v>49</v>
      </c>
      <c r="E144" s="1" t="s">
        <v>20</v>
      </c>
      <c r="F144" s="1" t="s">
        <v>711</v>
      </c>
      <c r="G144" s="140">
        <v>2.2230000000000001E-4</v>
      </c>
      <c r="H144"/>
    </row>
    <row r="145" spans="1:8" x14ac:dyDescent="0.2">
      <c r="A145" s="1" t="s">
        <v>984</v>
      </c>
      <c r="B145" s="1" t="s">
        <v>220</v>
      </c>
      <c r="C145" s="1" t="s">
        <v>10</v>
      </c>
      <c r="D145" s="1" t="s">
        <v>88</v>
      </c>
      <c r="E145" s="1" t="s">
        <v>20</v>
      </c>
      <c r="F145" s="1" t="s">
        <v>87</v>
      </c>
      <c r="G145" s="140">
        <v>9.2219999999999995E-5</v>
      </c>
      <c r="H145"/>
    </row>
    <row r="146" spans="1:8" x14ac:dyDescent="0.2">
      <c r="A146" s="1" t="s">
        <v>1206</v>
      </c>
      <c r="B146" s="1" t="s">
        <v>220</v>
      </c>
      <c r="C146" s="1" t="s">
        <v>10</v>
      </c>
      <c r="D146" s="1" t="s">
        <v>1204</v>
      </c>
      <c r="E146" s="1" t="s">
        <v>20</v>
      </c>
      <c r="F146" s="1" t="s">
        <v>1205</v>
      </c>
      <c r="G146" s="140">
        <v>5.2299999999999999E-6</v>
      </c>
      <c r="H146"/>
    </row>
    <row r="147" spans="1:8" x14ac:dyDescent="0.2">
      <c r="A147" s="1" t="s">
        <v>985</v>
      </c>
      <c r="B147" s="1" t="s">
        <v>220</v>
      </c>
      <c r="C147" s="1" t="s">
        <v>10</v>
      </c>
      <c r="D147" s="1" t="s">
        <v>46</v>
      </c>
      <c r="E147" s="1" t="s">
        <v>20</v>
      </c>
      <c r="F147" s="1" t="s">
        <v>45</v>
      </c>
      <c r="G147" s="140">
        <v>5.3569999999999996E-4</v>
      </c>
      <c r="H147"/>
    </row>
    <row r="148" spans="1:8" x14ac:dyDescent="0.2">
      <c r="A148" s="1" t="s">
        <v>986</v>
      </c>
      <c r="B148" s="1" t="s">
        <v>220</v>
      </c>
      <c r="C148" s="1" t="s">
        <v>10</v>
      </c>
      <c r="D148" s="1" t="s">
        <v>987</v>
      </c>
      <c r="E148" s="1" t="s">
        <v>20</v>
      </c>
      <c r="F148" s="1" t="s">
        <v>988</v>
      </c>
      <c r="G148" s="140">
        <v>4.7700000000000001E-5</v>
      </c>
      <c r="H148"/>
    </row>
    <row r="149" spans="1:8" x14ac:dyDescent="0.2">
      <c r="A149" s="1" t="s">
        <v>1237</v>
      </c>
      <c r="B149" s="1" t="s">
        <v>220</v>
      </c>
      <c r="C149" s="1" t="s">
        <v>10</v>
      </c>
      <c r="D149" s="1" t="s">
        <v>614</v>
      </c>
      <c r="E149" s="1" t="s">
        <v>20</v>
      </c>
      <c r="F149" s="1" t="s">
        <v>644</v>
      </c>
      <c r="G149" s="140">
        <v>3.9919999999999997E-5</v>
      </c>
      <c r="H149"/>
    </row>
    <row r="150" spans="1:8" x14ac:dyDescent="0.2">
      <c r="A150" s="1" t="s">
        <v>989</v>
      </c>
      <c r="B150" s="1" t="s">
        <v>220</v>
      </c>
      <c r="C150" s="1" t="s">
        <v>10</v>
      </c>
      <c r="D150" s="1" t="s">
        <v>990</v>
      </c>
      <c r="E150" s="1" t="s">
        <v>20</v>
      </c>
      <c r="F150" s="1" t="s">
        <v>991</v>
      </c>
      <c r="G150" s="140">
        <v>3.9600000000000002E-6</v>
      </c>
      <c r="H150"/>
    </row>
    <row r="151" spans="1:8" x14ac:dyDescent="0.2">
      <c r="A151" s="1" t="s">
        <v>992</v>
      </c>
      <c r="B151" s="1" t="s">
        <v>220</v>
      </c>
      <c r="C151" s="1" t="s">
        <v>10</v>
      </c>
      <c r="D151" s="1" t="s">
        <v>993</v>
      </c>
      <c r="E151" s="1" t="s">
        <v>20</v>
      </c>
      <c r="F151" s="1" t="s">
        <v>994</v>
      </c>
      <c r="G151" s="140">
        <v>1.023E-5</v>
      </c>
      <c r="H151"/>
    </row>
    <row r="152" spans="1:8" x14ac:dyDescent="0.2">
      <c r="A152" s="1" t="s">
        <v>995</v>
      </c>
      <c r="B152" s="1" t="s">
        <v>220</v>
      </c>
      <c r="C152" s="1" t="s">
        <v>10</v>
      </c>
      <c r="D152" s="1" t="s">
        <v>825</v>
      </c>
      <c r="E152" s="1" t="s">
        <v>20</v>
      </c>
      <c r="F152" s="1" t="s">
        <v>826</v>
      </c>
      <c r="G152" s="140">
        <v>1.141E-4</v>
      </c>
      <c r="H152"/>
    </row>
    <row r="153" spans="1:8" x14ac:dyDescent="0.2">
      <c r="A153" s="1" t="s">
        <v>996</v>
      </c>
      <c r="B153" s="1" t="s">
        <v>220</v>
      </c>
      <c r="C153" s="1" t="s">
        <v>10</v>
      </c>
      <c r="D153" s="1" t="s">
        <v>185</v>
      </c>
      <c r="E153" s="1" t="s">
        <v>20</v>
      </c>
      <c r="F153" s="1" t="s">
        <v>997</v>
      </c>
      <c r="G153" s="140">
        <v>6.1999999999999999E-6</v>
      </c>
      <c r="H153"/>
    </row>
    <row r="154" spans="1:8" x14ac:dyDescent="0.2">
      <c r="A154" s="1" t="s">
        <v>998</v>
      </c>
      <c r="B154" s="1" t="s">
        <v>220</v>
      </c>
      <c r="C154" s="1" t="s">
        <v>10</v>
      </c>
      <c r="D154" s="1" t="s">
        <v>183</v>
      </c>
      <c r="E154" s="1" t="s">
        <v>20</v>
      </c>
      <c r="F154" s="1" t="s">
        <v>828</v>
      </c>
      <c r="G154" s="140">
        <v>3.4317000000000001E-4</v>
      </c>
      <c r="H154"/>
    </row>
    <row r="155" spans="1:8" x14ac:dyDescent="0.2">
      <c r="A155" s="1" t="s">
        <v>999</v>
      </c>
      <c r="B155" s="1" t="s">
        <v>220</v>
      </c>
      <c r="C155" s="1" t="s">
        <v>10</v>
      </c>
      <c r="D155" s="1" t="s">
        <v>623</v>
      </c>
      <c r="E155" s="1" t="s">
        <v>20</v>
      </c>
      <c r="F155" s="1" t="s">
        <v>645</v>
      </c>
      <c r="G155" s="140">
        <v>1.751E-4</v>
      </c>
      <c r="H155"/>
    </row>
    <row r="156" spans="1:8" x14ac:dyDescent="0.2">
      <c r="A156" s="1" t="s">
        <v>1000</v>
      </c>
      <c r="B156" s="1" t="s">
        <v>220</v>
      </c>
      <c r="C156" s="1" t="s">
        <v>10</v>
      </c>
      <c r="D156" s="1" t="s">
        <v>198</v>
      </c>
      <c r="E156" s="1" t="s">
        <v>20</v>
      </c>
      <c r="F156" s="1" t="s">
        <v>199</v>
      </c>
      <c r="G156" s="140">
        <v>1.6359999999999999E-5</v>
      </c>
      <c r="H156"/>
    </row>
    <row r="157" spans="1:8" x14ac:dyDescent="0.2">
      <c r="A157" s="1" t="s">
        <v>1001</v>
      </c>
      <c r="B157" s="1" t="s">
        <v>220</v>
      </c>
      <c r="C157" s="1" t="s">
        <v>10</v>
      </c>
      <c r="D157" s="1" t="s">
        <v>1002</v>
      </c>
      <c r="E157" s="1" t="s">
        <v>20</v>
      </c>
      <c r="F157" s="1" t="s">
        <v>1002</v>
      </c>
      <c r="G157" s="140">
        <v>2.3730000000000001E-5</v>
      </c>
      <c r="H157"/>
    </row>
    <row r="158" spans="1:8" x14ac:dyDescent="0.2">
      <c r="A158" s="1" t="s">
        <v>1003</v>
      </c>
      <c r="B158" s="1" t="s">
        <v>220</v>
      </c>
      <c r="C158" s="1" t="s">
        <v>10</v>
      </c>
      <c r="D158" s="1" t="s">
        <v>831</v>
      </c>
      <c r="E158" s="1" t="s">
        <v>20</v>
      </c>
      <c r="F158" s="1" t="s">
        <v>832</v>
      </c>
      <c r="G158" s="140">
        <v>9.043E-5</v>
      </c>
      <c r="H158"/>
    </row>
    <row r="159" spans="1:8" x14ac:dyDescent="0.2">
      <c r="A159" s="1" t="s">
        <v>1223</v>
      </c>
      <c r="B159" s="1" t="s">
        <v>220</v>
      </c>
      <c r="C159" s="1" t="s">
        <v>10</v>
      </c>
      <c r="D159" s="1" t="s">
        <v>1222</v>
      </c>
      <c r="E159" s="1" t="s">
        <v>20</v>
      </c>
      <c r="F159" s="1" t="s">
        <v>1225</v>
      </c>
      <c r="G159" s="140">
        <v>4.2098999999999999E-4</v>
      </c>
      <c r="H159"/>
    </row>
    <row r="160" spans="1:8" x14ac:dyDescent="0.2">
      <c r="A160" s="1" t="s">
        <v>1004</v>
      </c>
      <c r="B160" s="1" t="s">
        <v>220</v>
      </c>
      <c r="C160" s="1" t="s">
        <v>10</v>
      </c>
      <c r="D160" s="1" t="s">
        <v>44</v>
      </c>
      <c r="E160" s="1" t="s">
        <v>20</v>
      </c>
      <c r="F160" s="1" t="s">
        <v>43</v>
      </c>
      <c r="G160" s="140">
        <v>5.1360000000000002E-4</v>
      </c>
      <c r="H160"/>
    </row>
    <row r="161" spans="1:8" x14ac:dyDescent="0.2">
      <c r="A161" s="1" t="s">
        <v>1005</v>
      </c>
      <c r="B161" s="1" t="s">
        <v>220</v>
      </c>
      <c r="C161" s="1" t="s">
        <v>10</v>
      </c>
      <c r="D161" s="1" t="s">
        <v>627</v>
      </c>
      <c r="E161" s="1" t="s">
        <v>20</v>
      </c>
      <c r="F161" s="1" t="s">
        <v>651</v>
      </c>
      <c r="G161" s="140">
        <v>5.2339999999999997E-5</v>
      </c>
      <c r="H161"/>
    </row>
    <row r="162" spans="1:8" x14ac:dyDescent="0.2">
      <c r="A162" s="1" t="s">
        <v>1226</v>
      </c>
      <c r="B162" s="1" t="s">
        <v>220</v>
      </c>
      <c r="C162" s="1" t="s">
        <v>10</v>
      </c>
      <c r="D162" s="1" t="s">
        <v>1227</v>
      </c>
      <c r="E162" s="1" t="s">
        <v>20</v>
      </c>
      <c r="F162" s="1" t="s">
        <v>1228</v>
      </c>
      <c r="G162" s="140">
        <v>1.366E-5</v>
      </c>
      <c r="H162"/>
    </row>
    <row r="163" spans="1:8" x14ac:dyDescent="0.2">
      <c r="A163" s="1" t="s">
        <v>1006</v>
      </c>
      <c r="B163" s="1" t="s">
        <v>220</v>
      </c>
      <c r="C163" s="1" t="s">
        <v>10</v>
      </c>
      <c r="D163" s="1" t="s">
        <v>85</v>
      </c>
      <c r="E163" s="1" t="s">
        <v>20</v>
      </c>
      <c r="F163" s="1" t="s">
        <v>1138</v>
      </c>
      <c r="G163" s="140">
        <v>1.4972E-3</v>
      </c>
      <c r="H163"/>
    </row>
    <row r="164" spans="1:8" x14ac:dyDescent="0.2">
      <c r="A164" s="1" t="s">
        <v>1215</v>
      </c>
      <c r="B164" s="1" t="s">
        <v>220</v>
      </c>
      <c r="C164" s="1" t="s">
        <v>10</v>
      </c>
      <c r="D164" s="1" t="s">
        <v>631</v>
      </c>
      <c r="E164" s="1" t="s">
        <v>20</v>
      </c>
      <c r="F164" s="1" t="s">
        <v>646</v>
      </c>
      <c r="G164" s="140">
        <v>3.0670000000000003E-5</v>
      </c>
      <c r="H164"/>
    </row>
    <row r="165" spans="1:8" x14ac:dyDescent="0.2">
      <c r="A165" s="1" t="s">
        <v>1007</v>
      </c>
      <c r="B165" s="1" t="s">
        <v>220</v>
      </c>
      <c r="C165" s="1" t="s">
        <v>10</v>
      </c>
      <c r="D165" s="1" t="s">
        <v>58</v>
      </c>
      <c r="E165" s="1" t="s">
        <v>20</v>
      </c>
      <c r="F165" s="1" t="s">
        <v>247</v>
      </c>
      <c r="G165" s="140">
        <v>2.6630000000000001E-5</v>
      </c>
      <c r="H165"/>
    </row>
    <row r="166" spans="1:8" x14ac:dyDescent="0.2">
      <c r="A166" s="1" t="s">
        <v>1008</v>
      </c>
      <c r="B166" s="1" t="s">
        <v>220</v>
      </c>
      <c r="C166" s="1" t="s">
        <v>10</v>
      </c>
      <c r="D166" s="1" t="s">
        <v>33</v>
      </c>
      <c r="E166" s="1" t="s">
        <v>20</v>
      </c>
      <c r="F166" s="1" t="s">
        <v>32</v>
      </c>
      <c r="G166" s="140">
        <v>2.4228E-2</v>
      </c>
      <c r="H166"/>
    </row>
    <row r="167" spans="1:8" x14ac:dyDescent="0.2">
      <c r="A167" s="1" t="s">
        <v>1009</v>
      </c>
      <c r="B167" s="1" t="s">
        <v>220</v>
      </c>
      <c r="C167" s="1" t="s">
        <v>10</v>
      </c>
      <c r="D167" s="1" t="s">
        <v>27</v>
      </c>
      <c r="E167" s="1" t="s">
        <v>20</v>
      </c>
      <c r="F167" s="1" t="s">
        <v>28</v>
      </c>
      <c r="G167" s="140">
        <v>7.1219999999999999E-5</v>
      </c>
      <c r="H167"/>
    </row>
    <row r="168" spans="1:8" x14ac:dyDescent="0.2">
      <c r="A168" s="1" t="s">
        <v>1010</v>
      </c>
      <c r="B168" s="1" t="s">
        <v>220</v>
      </c>
      <c r="C168" s="1" t="s">
        <v>10</v>
      </c>
      <c r="D168" s="1" t="s">
        <v>80</v>
      </c>
      <c r="E168" s="1" t="s">
        <v>20</v>
      </c>
      <c r="F168" s="1" t="s">
        <v>79</v>
      </c>
      <c r="G168" s="140">
        <v>5.1399999999999999E-6</v>
      </c>
      <c r="H168"/>
    </row>
    <row r="169" spans="1:8" x14ac:dyDescent="0.2">
      <c r="A169" s="1" t="s">
        <v>1011</v>
      </c>
      <c r="B169" s="1" t="s">
        <v>220</v>
      </c>
      <c r="C169" s="1" t="s">
        <v>10</v>
      </c>
      <c r="D169" s="1" t="s">
        <v>97</v>
      </c>
      <c r="E169" s="1" t="s">
        <v>20</v>
      </c>
      <c r="F169" s="1" t="s">
        <v>96</v>
      </c>
      <c r="G169" s="140">
        <v>4.0099999999999997E-3</v>
      </c>
      <c r="H169"/>
    </row>
    <row r="170" spans="1:8" x14ac:dyDescent="0.2">
      <c r="A170" s="1" t="s">
        <v>1012</v>
      </c>
      <c r="B170" s="1" t="s">
        <v>220</v>
      </c>
      <c r="C170" s="1" t="s">
        <v>10</v>
      </c>
      <c r="D170" s="1" t="s">
        <v>838</v>
      </c>
      <c r="E170" s="1" t="s">
        <v>20</v>
      </c>
      <c r="F170" s="1"/>
      <c r="G170" s="140">
        <v>1.026E-5</v>
      </c>
      <c r="H170"/>
    </row>
    <row r="171" spans="1:8" x14ac:dyDescent="0.2">
      <c r="A171" s="1" t="s">
        <v>1013</v>
      </c>
      <c r="B171" s="1" t="s">
        <v>220</v>
      </c>
      <c r="C171" s="1" t="s">
        <v>10</v>
      </c>
      <c r="D171" s="1" t="s">
        <v>16</v>
      </c>
      <c r="E171" s="1" t="s">
        <v>20</v>
      </c>
      <c r="F171" s="1" t="s">
        <v>40</v>
      </c>
      <c r="G171" s="140">
        <v>2.6825999999999999E-2</v>
      </c>
      <c r="H171"/>
    </row>
    <row r="172" spans="1:8" x14ac:dyDescent="0.2">
      <c r="A172" s="1" t="s">
        <v>1191</v>
      </c>
      <c r="B172" s="1" t="s">
        <v>220</v>
      </c>
      <c r="C172" s="1" t="s">
        <v>10</v>
      </c>
      <c r="D172" s="1" t="s">
        <v>1184</v>
      </c>
      <c r="E172" s="1" t="s">
        <v>20</v>
      </c>
      <c r="F172" s="1" t="s">
        <v>1185</v>
      </c>
      <c r="G172" s="140">
        <v>6.1600000000000003E-6</v>
      </c>
      <c r="H172"/>
    </row>
    <row r="173" spans="1:8" x14ac:dyDescent="0.2">
      <c r="A173" s="1" t="s">
        <v>1014</v>
      </c>
      <c r="B173" s="1" t="s">
        <v>220</v>
      </c>
      <c r="C173" s="1" t="s">
        <v>10</v>
      </c>
      <c r="D173" s="1" t="s">
        <v>71</v>
      </c>
      <c r="E173" s="1" t="s">
        <v>20</v>
      </c>
      <c r="F173" s="1" t="s">
        <v>647</v>
      </c>
      <c r="G173" s="140">
        <v>7.1559999999999999E-5</v>
      </c>
      <c r="H173"/>
    </row>
    <row r="174" spans="1:8" x14ac:dyDescent="0.2">
      <c r="A174" s="1" t="s">
        <v>1015</v>
      </c>
      <c r="B174" s="1" t="s">
        <v>220</v>
      </c>
      <c r="C174" s="1" t="s">
        <v>9</v>
      </c>
      <c r="D174" s="1" t="s">
        <v>195</v>
      </c>
      <c r="E174" s="1" t="s">
        <v>29</v>
      </c>
      <c r="F174" s="1" t="s">
        <v>648</v>
      </c>
      <c r="G174" s="140">
        <v>3.6661000000000002E-4</v>
      </c>
      <c r="H174"/>
    </row>
    <row r="175" spans="1:8" x14ac:dyDescent="0.2">
      <c r="A175" s="1" t="s">
        <v>1016</v>
      </c>
      <c r="B175" s="1" t="s">
        <v>220</v>
      </c>
      <c r="C175" s="1" t="s">
        <v>9</v>
      </c>
      <c r="D175" s="1" t="s">
        <v>100</v>
      </c>
      <c r="E175" s="1" t="s">
        <v>29</v>
      </c>
      <c r="F175" s="1" t="s">
        <v>99</v>
      </c>
      <c r="G175" s="140">
        <v>1.5577E-3</v>
      </c>
      <c r="H175"/>
    </row>
    <row r="176" spans="1:8" x14ac:dyDescent="0.2">
      <c r="A176" s="1" t="s">
        <v>1017</v>
      </c>
      <c r="B176" s="1" t="s">
        <v>220</v>
      </c>
      <c r="C176" s="1" t="s">
        <v>9</v>
      </c>
      <c r="D176" s="1" t="s">
        <v>760</v>
      </c>
      <c r="E176" s="1" t="s">
        <v>29</v>
      </c>
      <c r="F176" s="1" t="s">
        <v>761</v>
      </c>
      <c r="G176" s="140">
        <v>3.7360000000000002E-3</v>
      </c>
      <c r="H176"/>
    </row>
    <row r="177" spans="1:8" x14ac:dyDescent="0.2">
      <c r="A177" s="1" t="s">
        <v>1018</v>
      </c>
      <c r="B177" s="1" t="s">
        <v>220</v>
      </c>
      <c r="C177" s="1" t="s">
        <v>9</v>
      </c>
      <c r="D177" s="1" t="s">
        <v>763</v>
      </c>
      <c r="E177" s="1" t="s">
        <v>29</v>
      </c>
      <c r="F177" s="1" t="s">
        <v>764</v>
      </c>
      <c r="G177" s="140">
        <v>5.1250000000000002E-3</v>
      </c>
      <c r="H177"/>
    </row>
    <row r="178" spans="1:8" x14ac:dyDescent="0.2">
      <c r="A178" s="1" t="s">
        <v>1019</v>
      </c>
      <c r="B178" s="1" t="s">
        <v>220</v>
      </c>
      <c r="C178" s="1" t="s">
        <v>9</v>
      </c>
      <c r="D178" s="1" t="s">
        <v>766</v>
      </c>
      <c r="E178" s="1" t="s">
        <v>29</v>
      </c>
      <c r="F178" s="1" t="s">
        <v>767</v>
      </c>
      <c r="G178" s="140">
        <v>6.3294000000000002E-4</v>
      </c>
      <c r="H178"/>
    </row>
    <row r="179" spans="1:8" x14ac:dyDescent="0.2">
      <c r="A179" s="1" t="s">
        <v>1020</v>
      </c>
      <c r="B179" s="1" t="s">
        <v>220</v>
      </c>
      <c r="C179" s="1" t="s">
        <v>9</v>
      </c>
      <c r="D179" s="1" t="s">
        <v>769</v>
      </c>
      <c r="E179" s="1" t="s">
        <v>29</v>
      </c>
      <c r="F179" s="1" t="s">
        <v>770</v>
      </c>
      <c r="G179" s="140">
        <v>9.1180000000000005E-4</v>
      </c>
      <c r="H179"/>
    </row>
    <row r="180" spans="1:8" x14ac:dyDescent="0.2">
      <c r="A180" s="1" t="s">
        <v>1021</v>
      </c>
      <c r="B180" s="1" t="s">
        <v>220</v>
      </c>
      <c r="C180" s="1" t="s">
        <v>9</v>
      </c>
      <c r="D180" s="1" t="s">
        <v>48</v>
      </c>
      <c r="E180" s="1" t="s">
        <v>29</v>
      </c>
      <c r="F180" s="1" t="s">
        <v>47</v>
      </c>
      <c r="G180" s="140">
        <v>5.1310000000000001E-3</v>
      </c>
      <c r="H180"/>
    </row>
    <row r="181" spans="1:8" x14ac:dyDescent="0.2">
      <c r="A181" s="1" t="s">
        <v>1022</v>
      </c>
      <c r="B181" s="1" t="s">
        <v>220</v>
      </c>
      <c r="C181" s="1" t="s">
        <v>9</v>
      </c>
      <c r="D181" s="1" t="s">
        <v>847</v>
      </c>
      <c r="E181" s="1" t="s">
        <v>29</v>
      </c>
      <c r="F181" s="1" t="s">
        <v>848</v>
      </c>
      <c r="G181" s="140">
        <v>2.5379299999999999E-3</v>
      </c>
      <c r="H181"/>
    </row>
    <row r="182" spans="1:8" x14ac:dyDescent="0.2">
      <c r="A182" s="1" t="s">
        <v>1023</v>
      </c>
      <c r="B182" s="1" t="s">
        <v>220</v>
      </c>
      <c r="C182" s="1" t="s">
        <v>9</v>
      </c>
      <c r="D182" s="1" t="s">
        <v>850</v>
      </c>
      <c r="E182" s="1" t="s">
        <v>29</v>
      </c>
      <c r="F182" s="1" t="s">
        <v>851</v>
      </c>
      <c r="G182" s="140">
        <v>5.8909999999999995E-4</v>
      </c>
      <c r="H182"/>
    </row>
    <row r="183" spans="1:8" x14ac:dyDescent="0.2">
      <c r="A183" s="1" t="s">
        <v>1024</v>
      </c>
      <c r="B183" s="1" t="s">
        <v>220</v>
      </c>
      <c r="C183" s="1" t="s">
        <v>9</v>
      </c>
      <c r="D183" s="1" t="s">
        <v>53</v>
      </c>
      <c r="E183" s="1" t="s">
        <v>29</v>
      </c>
      <c r="F183" s="1" t="s">
        <v>52</v>
      </c>
      <c r="G183" s="140">
        <v>4.8648000000000002E-4</v>
      </c>
      <c r="H183"/>
    </row>
    <row r="184" spans="1:8" x14ac:dyDescent="0.2">
      <c r="A184" s="1" t="s">
        <v>1025</v>
      </c>
      <c r="B184" s="1" t="s">
        <v>220</v>
      </c>
      <c r="C184" s="1" t="s">
        <v>9</v>
      </c>
      <c r="D184" s="1" t="s">
        <v>854</v>
      </c>
      <c r="E184" s="1" t="s">
        <v>29</v>
      </c>
      <c r="F184" s="1" t="s">
        <v>855</v>
      </c>
      <c r="G184" s="140">
        <v>5.1470000000000002E-2</v>
      </c>
      <c r="H184"/>
    </row>
    <row r="185" spans="1:8" x14ac:dyDescent="0.2">
      <c r="A185" s="1" t="s">
        <v>1163</v>
      </c>
      <c r="B185" s="1" t="s">
        <v>220</v>
      </c>
      <c r="C185" s="1" t="s">
        <v>9</v>
      </c>
      <c r="D185" s="1" t="s">
        <v>30</v>
      </c>
      <c r="E185" s="1" t="s">
        <v>29</v>
      </c>
      <c r="F185" s="1" t="s">
        <v>19</v>
      </c>
      <c r="G185" s="140">
        <v>1.8833</v>
      </c>
      <c r="H185"/>
    </row>
    <row r="186" spans="1:8" x14ac:dyDescent="0.2">
      <c r="A186" s="1" t="s">
        <v>1026</v>
      </c>
      <c r="B186" s="1" t="s">
        <v>220</v>
      </c>
      <c r="C186" s="1" t="s">
        <v>9</v>
      </c>
      <c r="D186" s="1" t="s">
        <v>773</v>
      </c>
      <c r="E186" s="1" t="s">
        <v>29</v>
      </c>
      <c r="F186" s="1" t="s">
        <v>774</v>
      </c>
      <c r="G186" s="140">
        <v>9.6487999999999999E-4</v>
      </c>
      <c r="H186"/>
    </row>
    <row r="187" spans="1:8" x14ac:dyDescent="0.2">
      <c r="A187" s="1" t="s">
        <v>1027</v>
      </c>
      <c r="B187" s="1" t="s">
        <v>220</v>
      </c>
      <c r="C187" s="1" t="s">
        <v>9</v>
      </c>
      <c r="D187" s="1" t="s">
        <v>776</v>
      </c>
      <c r="E187" s="1" t="s">
        <v>29</v>
      </c>
      <c r="F187" s="1" t="s">
        <v>777</v>
      </c>
      <c r="G187" s="140">
        <v>7.674E-4</v>
      </c>
      <c r="H187"/>
    </row>
    <row r="188" spans="1:8" x14ac:dyDescent="0.2">
      <c r="A188" s="1" t="s">
        <v>1028</v>
      </c>
      <c r="B188" s="1" t="s">
        <v>220</v>
      </c>
      <c r="C188" s="1" t="s">
        <v>9</v>
      </c>
      <c r="D188" s="1" t="s">
        <v>74</v>
      </c>
      <c r="E188" s="1" t="s">
        <v>29</v>
      </c>
      <c r="F188" s="1" t="s">
        <v>758</v>
      </c>
      <c r="G188" s="140">
        <v>2.6464999999999999E-2</v>
      </c>
      <c r="H188"/>
    </row>
    <row r="189" spans="1:8" x14ac:dyDescent="0.2">
      <c r="A189" s="1" t="s">
        <v>1029</v>
      </c>
      <c r="B189" s="1" t="s">
        <v>220</v>
      </c>
      <c r="C189" s="1" t="s">
        <v>9</v>
      </c>
      <c r="D189" s="1" t="s">
        <v>76</v>
      </c>
      <c r="E189" s="1" t="s">
        <v>29</v>
      </c>
      <c r="F189" s="1" t="s">
        <v>75</v>
      </c>
      <c r="G189" s="140">
        <v>5.7099999999999998E-3</v>
      </c>
      <c r="H189"/>
    </row>
    <row r="190" spans="1:8" x14ac:dyDescent="0.2">
      <c r="A190" s="1" t="s">
        <v>1030</v>
      </c>
      <c r="B190" s="1" t="s">
        <v>220</v>
      </c>
      <c r="C190" s="1" t="s">
        <v>9</v>
      </c>
      <c r="D190" s="1" t="s">
        <v>861</v>
      </c>
      <c r="E190" s="1" t="s">
        <v>29</v>
      </c>
      <c r="F190" s="1"/>
      <c r="G190" s="140">
        <v>5.3614999999999999E-3</v>
      </c>
      <c r="H190"/>
    </row>
    <row r="191" spans="1:8" x14ac:dyDescent="0.2">
      <c r="A191" s="1" t="s">
        <v>1031</v>
      </c>
      <c r="B191" s="1" t="s">
        <v>220</v>
      </c>
      <c r="C191" s="1" t="s">
        <v>9</v>
      </c>
      <c r="D191" s="1" t="s">
        <v>779</v>
      </c>
      <c r="E191" s="1" t="s">
        <v>29</v>
      </c>
      <c r="F191" s="1" t="s">
        <v>780</v>
      </c>
      <c r="G191" s="140">
        <v>1.0874000000000001E-3</v>
      </c>
      <c r="H191"/>
    </row>
    <row r="192" spans="1:8" x14ac:dyDescent="0.2">
      <c r="A192" s="1" t="s">
        <v>1032</v>
      </c>
      <c r="B192" s="1" t="s">
        <v>220</v>
      </c>
      <c r="C192" s="1" t="s">
        <v>9</v>
      </c>
      <c r="D192" s="1" t="s">
        <v>228</v>
      </c>
      <c r="E192" s="1" t="s">
        <v>29</v>
      </c>
      <c r="F192" s="1" t="s">
        <v>229</v>
      </c>
      <c r="G192" s="140">
        <v>0.115649</v>
      </c>
      <c r="H192"/>
    </row>
    <row r="193" spans="1:8" x14ac:dyDescent="0.2">
      <c r="A193" s="1" t="s">
        <v>1033</v>
      </c>
      <c r="B193" s="1" t="s">
        <v>220</v>
      </c>
      <c r="C193" s="1" t="s">
        <v>9</v>
      </c>
      <c r="D193" s="1" t="s">
        <v>55</v>
      </c>
      <c r="E193" s="1" t="s">
        <v>29</v>
      </c>
      <c r="F193" s="1" t="s">
        <v>54</v>
      </c>
      <c r="G193" s="140">
        <v>3.3291000000000001E-4</v>
      </c>
      <c r="H193"/>
    </row>
    <row r="194" spans="1:8" x14ac:dyDescent="0.2">
      <c r="A194" s="1" t="s">
        <v>1034</v>
      </c>
      <c r="B194" s="1" t="s">
        <v>220</v>
      </c>
      <c r="C194" s="1" t="s">
        <v>9</v>
      </c>
      <c r="D194" s="1" t="s">
        <v>866</v>
      </c>
      <c r="E194" s="1" t="s">
        <v>29</v>
      </c>
      <c r="F194" s="1" t="s">
        <v>1186</v>
      </c>
      <c r="G194" s="140">
        <v>9.1769999999999997E-5</v>
      </c>
      <c r="H194"/>
    </row>
    <row r="195" spans="1:8" x14ac:dyDescent="0.2">
      <c r="A195" s="1" t="s">
        <v>1035</v>
      </c>
      <c r="B195" s="1" t="s">
        <v>220</v>
      </c>
      <c r="C195" s="1" t="s">
        <v>9</v>
      </c>
      <c r="D195" s="1" t="s">
        <v>868</v>
      </c>
      <c r="E195" s="1" t="s">
        <v>29</v>
      </c>
      <c r="F195" s="1" t="s">
        <v>869</v>
      </c>
      <c r="G195" s="140">
        <v>2.12E-4</v>
      </c>
      <c r="H195"/>
    </row>
    <row r="196" spans="1:8" x14ac:dyDescent="0.2">
      <c r="A196" s="1" t="s">
        <v>1036</v>
      </c>
      <c r="B196" s="1" t="s">
        <v>220</v>
      </c>
      <c r="C196" s="1" t="s">
        <v>9</v>
      </c>
      <c r="D196" s="1" t="s">
        <v>783</v>
      </c>
      <c r="E196" s="1" t="s">
        <v>29</v>
      </c>
      <c r="F196" s="1" t="s">
        <v>784</v>
      </c>
      <c r="G196" s="140">
        <v>2.7700000000000001E-4</v>
      </c>
      <c r="H196"/>
    </row>
    <row r="197" spans="1:8" x14ac:dyDescent="0.2">
      <c r="A197" s="1" t="s">
        <v>1037</v>
      </c>
      <c r="B197" s="1" t="s">
        <v>220</v>
      </c>
      <c r="C197" s="1" t="s">
        <v>9</v>
      </c>
      <c r="D197" s="1" t="s">
        <v>786</v>
      </c>
      <c r="E197" s="1" t="s">
        <v>29</v>
      </c>
      <c r="F197" s="1" t="s">
        <v>787</v>
      </c>
      <c r="G197" s="140">
        <v>1.5799999999999999E-4</v>
      </c>
      <c r="H197"/>
    </row>
    <row r="198" spans="1:8" x14ac:dyDescent="0.2">
      <c r="A198" s="1" t="s">
        <v>1038</v>
      </c>
      <c r="B198" s="1" t="s">
        <v>220</v>
      </c>
      <c r="C198" s="1" t="s">
        <v>9</v>
      </c>
      <c r="D198" s="1" t="s">
        <v>873</v>
      </c>
      <c r="E198" s="1" t="s">
        <v>29</v>
      </c>
      <c r="F198" s="1" t="s">
        <v>874</v>
      </c>
      <c r="G198" s="140">
        <v>8.3819999999999999E-4</v>
      </c>
      <c r="H198"/>
    </row>
    <row r="199" spans="1:8" x14ac:dyDescent="0.2">
      <c r="A199" s="1" t="s">
        <v>1039</v>
      </c>
      <c r="B199" s="1" t="s">
        <v>220</v>
      </c>
      <c r="C199" s="1" t="s">
        <v>9</v>
      </c>
      <c r="D199" s="1" t="s">
        <v>11</v>
      </c>
      <c r="E199" s="1" t="s">
        <v>29</v>
      </c>
      <c r="F199" s="1" t="s">
        <v>21</v>
      </c>
      <c r="G199" s="140">
        <v>0.85158</v>
      </c>
      <c r="H199"/>
    </row>
    <row r="200" spans="1:8" x14ac:dyDescent="0.2">
      <c r="A200" s="1" t="s">
        <v>1040</v>
      </c>
      <c r="B200" s="1" t="s">
        <v>220</v>
      </c>
      <c r="C200" s="1" t="s">
        <v>9</v>
      </c>
      <c r="D200" s="1" t="s">
        <v>877</v>
      </c>
      <c r="E200" s="1" t="s">
        <v>29</v>
      </c>
      <c r="F200" s="1" t="s">
        <v>878</v>
      </c>
      <c r="G200" s="140">
        <v>0.61999000000000004</v>
      </c>
      <c r="H200"/>
    </row>
    <row r="201" spans="1:8" x14ac:dyDescent="0.2">
      <c r="A201" s="1" t="s">
        <v>1041</v>
      </c>
      <c r="B201" s="1" t="s">
        <v>220</v>
      </c>
      <c r="C201" s="1" t="s">
        <v>9</v>
      </c>
      <c r="D201" s="1" t="s">
        <v>789</v>
      </c>
      <c r="E201" s="1" t="s">
        <v>29</v>
      </c>
      <c r="F201" s="1" t="s">
        <v>790</v>
      </c>
      <c r="G201" s="140">
        <v>3.8999999999999999E-4</v>
      </c>
      <c r="H201"/>
    </row>
    <row r="202" spans="1:8" x14ac:dyDescent="0.2">
      <c r="A202" s="1" t="s">
        <v>1042</v>
      </c>
      <c r="B202" s="1" t="s">
        <v>220</v>
      </c>
      <c r="C202" s="1" t="s">
        <v>9</v>
      </c>
      <c r="D202" s="1" t="s">
        <v>112</v>
      </c>
      <c r="E202" s="1" t="s">
        <v>29</v>
      </c>
      <c r="F202" s="1" t="s">
        <v>111</v>
      </c>
      <c r="G202" s="140">
        <v>1.2972999999999999E-4</v>
      </c>
      <c r="H202"/>
    </row>
    <row r="203" spans="1:8" x14ac:dyDescent="0.2">
      <c r="A203" s="1" t="s">
        <v>1043</v>
      </c>
      <c r="B203" s="1" t="s">
        <v>220</v>
      </c>
      <c r="C203" s="1" t="s">
        <v>9</v>
      </c>
      <c r="D203" s="1" t="s">
        <v>882</v>
      </c>
      <c r="E203" s="1" t="s">
        <v>29</v>
      </c>
      <c r="F203" s="1" t="s">
        <v>883</v>
      </c>
      <c r="G203" s="140">
        <v>3.8899999999999998E-3</v>
      </c>
      <c r="H203"/>
    </row>
    <row r="204" spans="1:8" x14ac:dyDescent="0.2">
      <c r="A204" s="1" t="s">
        <v>1044</v>
      </c>
      <c r="B204" s="1" t="s">
        <v>220</v>
      </c>
      <c r="C204" s="1" t="s">
        <v>9</v>
      </c>
      <c r="D204" s="1" t="s">
        <v>885</v>
      </c>
      <c r="E204" s="1" t="s">
        <v>29</v>
      </c>
      <c r="F204" s="1" t="s">
        <v>886</v>
      </c>
      <c r="G204" s="140">
        <v>1.3534599999999999E-3</v>
      </c>
      <c r="H204"/>
    </row>
    <row r="205" spans="1:8" x14ac:dyDescent="0.2">
      <c r="A205" s="1" t="s">
        <v>1045</v>
      </c>
      <c r="B205" s="1" t="s">
        <v>220</v>
      </c>
      <c r="C205" s="1" t="s">
        <v>9</v>
      </c>
      <c r="D205" s="1" t="s">
        <v>232</v>
      </c>
      <c r="E205" s="1" t="s">
        <v>29</v>
      </c>
      <c r="F205" s="1" t="s">
        <v>233</v>
      </c>
      <c r="G205" s="140">
        <v>3.8224000000000001E-3</v>
      </c>
      <c r="H205"/>
    </row>
    <row r="206" spans="1:8" x14ac:dyDescent="0.2">
      <c r="A206" s="1" t="s">
        <v>1046</v>
      </c>
      <c r="B206" s="1" t="s">
        <v>220</v>
      </c>
      <c r="C206" s="1" t="s">
        <v>9</v>
      </c>
      <c r="D206" s="1" t="s">
        <v>889</v>
      </c>
      <c r="E206" s="1" t="s">
        <v>29</v>
      </c>
      <c r="F206" s="1" t="s">
        <v>890</v>
      </c>
      <c r="G206" s="140">
        <v>2.6401000000000002E-4</v>
      </c>
      <c r="H206"/>
    </row>
    <row r="207" spans="1:8" x14ac:dyDescent="0.2">
      <c r="A207" s="1" t="s">
        <v>1047</v>
      </c>
      <c r="B207" s="1" t="s">
        <v>220</v>
      </c>
      <c r="C207" s="1" t="s">
        <v>9</v>
      </c>
      <c r="D207" s="1" t="s">
        <v>892</v>
      </c>
      <c r="E207" s="1" t="s">
        <v>29</v>
      </c>
      <c r="F207" s="1" t="s">
        <v>892</v>
      </c>
      <c r="G207" s="140">
        <v>1.5553000000000001E-2</v>
      </c>
      <c r="H207"/>
    </row>
    <row r="208" spans="1:8" x14ac:dyDescent="0.2">
      <c r="A208" s="1" t="s">
        <v>1048</v>
      </c>
      <c r="B208" s="1" t="s">
        <v>220</v>
      </c>
      <c r="C208" s="1" t="s">
        <v>9</v>
      </c>
      <c r="D208" s="1" t="s">
        <v>35</v>
      </c>
      <c r="E208" s="1" t="s">
        <v>29</v>
      </c>
      <c r="F208" s="1" t="s">
        <v>34</v>
      </c>
      <c r="G208" s="140">
        <v>3.8391000000000002E-2</v>
      </c>
      <c r="H208"/>
    </row>
    <row r="209" spans="1:8" x14ac:dyDescent="0.2">
      <c r="A209" s="1" t="s">
        <v>1049</v>
      </c>
      <c r="B209" s="1" t="s">
        <v>220</v>
      </c>
      <c r="C209" s="1" t="s">
        <v>9</v>
      </c>
      <c r="D209" s="1" t="s">
        <v>896</v>
      </c>
      <c r="E209" s="1" t="s">
        <v>29</v>
      </c>
      <c r="F209" s="1" t="s">
        <v>897</v>
      </c>
      <c r="G209" s="140">
        <v>2.6350000000000002E-3</v>
      </c>
      <c r="H209"/>
    </row>
    <row r="210" spans="1:8" x14ac:dyDescent="0.2">
      <c r="A210" s="1" t="s">
        <v>1050</v>
      </c>
      <c r="B210" s="1" t="s">
        <v>220</v>
      </c>
      <c r="C210" s="1" t="s">
        <v>9</v>
      </c>
      <c r="D210" s="1" t="s">
        <v>899</v>
      </c>
      <c r="E210" s="1" t="s">
        <v>29</v>
      </c>
      <c r="F210" s="1" t="s">
        <v>900</v>
      </c>
      <c r="G210" s="140">
        <v>1.4988999999999999E-4</v>
      </c>
      <c r="H210"/>
    </row>
    <row r="211" spans="1:8" x14ac:dyDescent="0.2">
      <c r="A211" s="1" t="s">
        <v>1051</v>
      </c>
      <c r="B211" s="1" t="s">
        <v>220</v>
      </c>
      <c r="C211" s="1" t="s">
        <v>9</v>
      </c>
      <c r="D211" s="1" t="s">
        <v>73</v>
      </c>
      <c r="E211" s="1" t="s">
        <v>29</v>
      </c>
      <c r="F211" s="1" t="s">
        <v>72</v>
      </c>
      <c r="G211" s="140">
        <v>8.1199999999999995E-5</v>
      </c>
      <c r="H211"/>
    </row>
    <row r="212" spans="1:8" x14ac:dyDescent="0.2">
      <c r="A212" s="1" t="s">
        <v>1052</v>
      </c>
      <c r="B212" s="1" t="s">
        <v>220</v>
      </c>
      <c r="C212" s="1" t="s">
        <v>9</v>
      </c>
      <c r="D212" s="1" t="s">
        <v>792</v>
      </c>
      <c r="E212" s="1" t="s">
        <v>29</v>
      </c>
      <c r="F212" s="1" t="s">
        <v>793</v>
      </c>
      <c r="G212" s="140">
        <v>4.7922999999999998E-4</v>
      </c>
      <c r="H212"/>
    </row>
    <row r="213" spans="1:8" x14ac:dyDescent="0.2">
      <c r="A213" s="1" t="s">
        <v>1053</v>
      </c>
      <c r="B213" s="1" t="s">
        <v>220</v>
      </c>
      <c r="C213" s="1" t="s">
        <v>9</v>
      </c>
      <c r="D213" s="1" t="s">
        <v>905</v>
      </c>
      <c r="E213" s="1" t="s">
        <v>29</v>
      </c>
      <c r="F213" s="1" t="s">
        <v>906</v>
      </c>
      <c r="G213" s="140">
        <v>5.3780000000000001E-2</v>
      </c>
      <c r="H213"/>
    </row>
    <row r="214" spans="1:8" x14ac:dyDescent="0.2">
      <c r="A214" s="1" t="s">
        <v>1054</v>
      </c>
      <c r="B214" s="1" t="s">
        <v>220</v>
      </c>
      <c r="C214" s="1" t="s">
        <v>9</v>
      </c>
      <c r="D214" s="1" t="s">
        <v>908</v>
      </c>
      <c r="E214" s="1" t="s">
        <v>29</v>
      </c>
      <c r="F214" s="1" t="s">
        <v>1187</v>
      </c>
      <c r="G214" s="140">
        <v>6.7990000000000004E-3</v>
      </c>
      <c r="H214"/>
    </row>
    <row r="215" spans="1:8" x14ac:dyDescent="0.2">
      <c r="A215" s="1" t="s">
        <v>1055</v>
      </c>
      <c r="B215" s="1" t="s">
        <v>220</v>
      </c>
      <c r="C215" s="1" t="s">
        <v>9</v>
      </c>
      <c r="D215" s="1" t="s">
        <v>910</v>
      </c>
      <c r="E215" s="1" t="s">
        <v>29</v>
      </c>
      <c r="F215" s="1" t="s">
        <v>911</v>
      </c>
      <c r="G215" s="140">
        <v>1.4612999999999999E-2</v>
      </c>
      <c r="H215"/>
    </row>
    <row r="216" spans="1:8" x14ac:dyDescent="0.2">
      <c r="A216" s="1" t="s">
        <v>1056</v>
      </c>
      <c r="B216" s="1" t="s">
        <v>220</v>
      </c>
      <c r="C216" s="1" t="s">
        <v>9</v>
      </c>
      <c r="D216" s="1" t="s">
        <v>913</v>
      </c>
      <c r="E216" s="1" t="s">
        <v>29</v>
      </c>
      <c r="F216" s="1" t="s">
        <v>914</v>
      </c>
      <c r="G216" s="140">
        <v>1.9884E-3</v>
      </c>
      <c r="H216"/>
    </row>
    <row r="217" spans="1:8" x14ac:dyDescent="0.2">
      <c r="A217" s="1" t="s">
        <v>1057</v>
      </c>
      <c r="B217" s="1" t="s">
        <v>220</v>
      </c>
      <c r="C217" s="1" t="s">
        <v>9</v>
      </c>
      <c r="D217" s="1" t="s">
        <v>795</v>
      </c>
      <c r="E217" s="1" t="s">
        <v>29</v>
      </c>
      <c r="F217" s="1" t="s">
        <v>796</v>
      </c>
      <c r="G217" s="140">
        <v>5.8539999999999998E-3</v>
      </c>
      <c r="H217"/>
    </row>
    <row r="218" spans="1:8" x14ac:dyDescent="0.2">
      <c r="A218" s="1" t="s">
        <v>1058</v>
      </c>
      <c r="B218" s="1" t="s">
        <v>220</v>
      </c>
      <c r="C218" s="1" t="s">
        <v>9</v>
      </c>
      <c r="D218" s="1" t="s">
        <v>917</v>
      </c>
      <c r="E218" s="1" t="s">
        <v>29</v>
      </c>
      <c r="F218" s="1" t="s">
        <v>918</v>
      </c>
      <c r="G218" s="140">
        <v>2.7880000000000001E-3</v>
      </c>
      <c r="H218"/>
    </row>
    <row r="219" spans="1:8" x14ac:dyDescent="0.2">
      <c r="A219" s="1" t="s">
        <v>1059</v>
      </c>
      <c r="B219" s="1" t="s">
        <v>220</v>
      </c>
      <c r="C219" s="1" t="s">
        <v>9</v>
      </c>
      <c r="D219" s="1" t="s">
        <v>920</v>
      </c>
      <c r="E219" s="1" t="s">
        <v>29</v>
      </c>
      <c r="F219" s="1" t="s">
        <v>921</v>
      </c>
      <c r="G219" s="140">
        <v>6.389E-5</v>
      </c>
      <c r="H219"/>
    </row>
    <row r="220" spans="1:8" x14ac:dyDescent="0.2">
      <c r="A220" s="1" t="s">
        <v>1060</v>
      </c>
      <c r="B220" s="1" t="s">
        <v>220</v>
      </c>
      <c r="C220" s="1" t="s">
        <v>9</v>
      </c>
      <c r="D220" s="1" t="s">
        <v>31</v>
      </c>
      <c r="E220" s="1" t="s">
        <v>29</v>
      </c>
      <c r="F220" s="1" t="s">
        <v>31</v>
      </c>
      <c r="G220" s="140">
        <v>2.8253100000000001E-3</v>
      </c>
      <c r="H220"/>
    </row>
    <row r="221" spans="1:8" x14ac:dyDescent="0.2">
      <c r="A221" s="1" t="s">
        <v>1061</v>
      </c>
      <c r="B221" s="1" t="s">
        <v>220</v>
      </c>
      <c r="C221" s="1" t="s">
        <v>9</v>
      </c>
      <c r="D221" s="1" t="s">
        <v>60</v>
      </c>
      <c r="E221" s="1" t="s">
        <v>29</v>
      </c>
      <c r="F221" s="1" t="s">
        <v>59</v>
      </c>
      <c r="G221" s="140">
        <v>6.1859999999999997E-3</v>
      </c>
      <c r="H221"/>
    </row>
    <row r="222" spans="1:8" x14ac:dyDescent="0.2">
      <c r="A222" s="1" t="s">
        <v>1062</v>
      </c>
      <c r="B222" s="1" t="s">
        <v>220</v>
      </c>
      <c r="C222" s="1" t="s">
        <v>9</v>
      </c>
      <c r="D222" s="1" t="s">
        <v>925</v>
      </c>
      <c r="E222" s="1" t="s">
        <v>29</v>
      </c>
      <c r="F222" s="1" t="s">
        <v>926</v>
      </c>
      <c r="G222" s="140">
        <v>2.5712E-3</v>
      </c>
      <c r="H222"/>
    </row>
    <row r="223" spans="1:8" x14ac:dyDescent="0.2">
      <c r="A223" s="1" t="s">
        <v>1063</v>
      </c>
      <c r="B223" s="1" t="s">
        <v>220</v>
      </c>
      <c r="C223" s="1" t="s">
        <v>9</v>
      </c>
      <c r="D223" s="1" t="s">
        <v>928</v>
      </c>
      <c r="E223" s="1" t="s">
        <v>29</v>
      </c>
      <c r="F223" s="1" t="s">
        <v>929</v>
      </c>
      <c r="G223" s="140">
        <v>1.1478E-4</v>
      </c>
      <c r="H223"/>
    </row>
    <row r="224" spans="1:8" x14ac:dyDescent="0.2">
      <c r="A224" s="1" t="s">
        <v>1064</v>
      </c>
      <c r="B224" s="1" t="s">
        <v>220</v>
      </c>
      <c r="C224" s="1" t="s">
        <v>9</v>
      </c>
      <c r="D224" s="1" t="s">
        <v>931</v>
      </c>
      <c r="E224" s="1" t="s">
        <v>29</v>
      </c>
      <c r="F224" s="1" t="s">
        <v>932</v>
      </c>
      <c r="G224" s="140">
        <v>7.4138000000000003E-4</v>
      </c>
      <c r="H224"/>
    </row>
    <row r="225" spans="1:8" x14ac:dyDescent="0.2">
      <c r="A225" s="1" t="s">
        <v>1065</v>
      </c>
      <c r="B225" s="1" t="s">
        <v>220</v>
      </c>
      <c r="C225" s="1" t="s">
        <v>9</v>
      </c>
      <c r="D225" s="1" t="s">
        <v>934</v>
      </c>
      <c r="E225" s="1" t="s">
        <v>29</v>
      </c>
      <c r="F225" s="1" t="s">
        <v>935</v>
      </c>
      <c r="G225" s="140">
        <v>9.8462000000000007E-4</v>
      </c>
      <c r="H225"/>
    </row>
    <row r="226" spans="1:8" x14ac:dyDescent="0.2">
      <c r="A226" s="1" t="s">
        <v>1066</v>
      </c>
      <c r="B226" s="1" t="s">
        <v>220</v>
      </c>
      <c r="C226" s="1" t="s">
        <v>9</v>
      </c>
      <c r="D226" s="1" t="s">
        <v>37</v>
      </c>
      <c r="E226" s="1" t="s">
        <v>29</v>
      </c>
      <c r="F226" s="1" t="s">
        <v>36</v>
      </c>
      <c r="G226" s="140">
        <v>1.9137000000000001E-2</v>
      </c>
      <c r="H226"/>
    </row>
    <row r="227" spans="1:8" x14ac:dyDescent="0.2">
      <c r="A227" s="1" t="s">
        <v>1067</v>
      </c>
      <c r="B227" s="1" t="s">
        <v>220</v>
      </c>
      <c r="C227" s="1" t="s">
        <v>9</v>
      </c>
      <c r="D227" s="1" t="s">
        <v>13</v>
      </c>
      <c r="E227" s="1" t="s">
        <v>29</v>
      </c>
      <c r="F227" s="1" t="s">
        <v>23</v>
      </c>
      <c r="G227" s="140">
        <v>0.29859000000000002</v>
      </c>
      <c r="H227"/>
    </row>
    <row r="228" spans="1:8" x14ac:dyDescent="0.2">
      <c r="A228" s="1" t="s">
        <v>1068</v>
      </c>
      <c r="B228" s="1" t="s">
        <v>220</v>
      </c>
      <c r="C228" s="1" t="s">
        <v>9</v>
      </c>
      <c r="D228" s="1" t="s">
        <v>570</v>
      </c>
      <c r="E228" s="1" t="s">
        <v>29</v>
      </c>
      <c r="F228" s="1" t="s">
        <v>118</v>
      </c>
      <c r="G228" s="140">
        <v>1.9657999999999998E-2</v>
      </c>
      <c r="H228"/>
    </row>
    <row r="229" spans="1:8" x14ac:dyDescent="0.2">
      <c r="A229" s="1" t="s">
        <v>1069</v>
      </c>
      <c r="B229" s="1" t="s">
        <v>220</v>
      </c>
      <c r="C229" s="1" t="s">
        <v>9</v>
      </c>
      <c r="D229" s="1" t="s">
        <v>182</v>
      </c>
      <c r="E229" s="1" t="s">
        <v>29</v>
      </c>
      <c r="F229" s="1" t="s">
        <v>181</v>
      </c>
      <c r="G229" s="140">
        <v>1.7589E-4</v>
      </c>
      <c r="H229"/>
    </row>
    <row r="230" spans="1:8" x14ac:dyDescent="0.2">
      <c r="A230" s="1" t="s">
        <v>1070</v>
      </c>
      <c r="B230" s="1" t="s">
        <v>220</v>
      </c>
      <c r="C230" s="1" t="s">
        <v>9</v>
      </c>
      <c r="D230" s="1" t="s">
        <v>6</v>
      </c>
      <c r="E230" s="1" t="s">
        <v>29</v>
      </c>
      <c r="F230" s="1" t="s">
        <v>77</v>
      </c>
      <c r="G230" s="140">
        <v>1.1887E-2</v>
      </c>
      <c r="H230"/>
    </row>
    <row r="231" spans="1:8" x14ac:dyDescent="0.2">
      <c r="A231" s="1" t="s">
        <v>1071</v>
      </c>
      <c r="B231" s="1" t="s">
        <v>220</v>
      </c>
      <c r="C231" s="1" t="s">
        <v>9</v>
      </c>
      <c r="D231" s="1" t="s">
        <v>942</v>
      </c>
      <c r="E231" s="1" t="s">
        <v>29</v>
      </c>
      <c r="F231" s="1" t="s">
        <v>943</v>
      </c>
      <c r="G231" s="140">
        <v>1.8956000000000001E-3</v>
      </c>
      <c r="H231"/>
    </row>
    <row r="232" spans="1:8" x14ac:dyDescent="0.2">
      <c r="A232" s="1" t="s">
        <v>1072</v>
      </c>
      <c r="B232" s="1" t="s">
        <v>220</v>
      </c>
      <c r="C232" s="1" t="s">
        <v>9</v>
      </c>
      <c r="D232" s="1" t="s">
        <v>945</v>
      </c>
      <c r="E232" s="1" t="s">
        <v>29</v>
      </c>
      <c r="F232" s="1" t="s">
        <v>946</v>
      </c>
      <c r="G232" s="140">
        <v>4.9459999999999999E-3</v>
      </c>
      <c r="H232"/>
    </row>
    <row r="233" spans="1:8" x14ac:dyDescent="0.2">
      <c r="A233" s="1" t="s">
        <v>1073</v>
      </c>
      <c r="B233" s="1" t="s">
        <v>220</v>
      </c>
      <c r="C233" s="1" t="s">
        <v>9</v>
      </c>
      <c r="D233" s="1" t="s">
        <v>948</v>
      </c>
      <c r="E233" s="1" t="s">
        <v>29</v>
      </c>
      <c r="F233" s="1" t="s">
        <v>949</v>
      </c>
      <c r="G233" s="140">
        <v>2.4643000000000001E-4</v>
      </c>
      <c r="H233"/>
    </row>
    <row r="234" spans="1:8" x14ac:dyDescent="0.2">
      <c r="A234" s="1" t="s">
        <v>1074</v>
      </c>
      <c r="B234" s="1" t="s">
        <v>220</v>
      </c>
      <c r="C234" s="1" t="s">
        <v>9</v>
      </c>
      <c r="D234" s="1" t="s">
        <v>62</v>
      </c>
      <c r="E234" s="1" t="s">
        <v>29</v>
      </c>
      <c r="F234" s="1" t="s">
        <v>61</v>
      </c>
      <c r="G234" s="140">
        <v>9.4479999999999998E-3</v>
      </c>
      <c r="H234"/>
    </row>
    <row r="235" spans="1:8" x14ac:dyDescent="0.2">
      <c r="A235" s="1" t="s">
        <v>1075</v>
      </c>
      <c r="B235" s="1" t="s">
        <v>220</v>
      </c>
      <c r="C235" s="1" t="s">
        <v>9</v>
      </c>
      <c r="D235" s="1" t="s">
        <v>802</v>
      </c>
      <c r="E235" s="1" t="s">
        <v>29</v>
      </c>
      <c r="F235" s="1" t="s">
        <v>1148</v>
      </c>
      <c r="G235" s="140">
        <v>1.405E-2</v>
      </c>
      <c r="H235"/>
    </row>
    <row r="236" spans="1:8" x14ac:dyDescent="0.2">
      <c r="A236" s="1" t="s">
        <v>1076</v>
      </c>
      <c r="B236" s="1" t="s">
        <v>220</v>
      </c>
      <c r="C236" s="1" t="s">
        <v>9</v>
      </c>
      <c r="D236" s="1" t="s">
        <v>577</v>
      </c>
      <c r="E236" s="1" t="s">
        <v>29</v>
      </c>
      <c r="F236" s="1" t="s">
        <v>1174</v>
      </c>
      <c r="G236" s="140">
        <v>2.1610000000000002E-3</v>
      </c>
      <c r="H236"/>
    </row>
    <row r="237" spans="1:8" x14ac:dyDescent="0.2">
      <c r="A237" s="1" t="s">
        <v>1192</v>
      </c>
      <c r="B237" s="1" t="s">
        <v>220</v>
      </c>
      <c r="C237" s="1" t="s">
        <v>9</v>
      </c>
      <c r="D237" s="1" t="s">
        <v>1176</v>
      </c>
      <c r="E237" s="1" t="s">
        <v>29</v>
      </c>
      <c r="F237" s="1" t="s">
        <v>1177</v>
      </c>
      <c r="G237" s="140">
        <v>7.4109999999999993E-5</v>
      </c>
      <c r="H237"/>
    </row>
    <row r="238" spans="1:8" x14ac:dyDescent="0.2">
      <c r="A238" s="1" t="s">
        <v>1077</v>
      </c>
      <c r="B238" s="1" t="s">
        <v>220</v>
      </c>
      <c r="C238" s="1" t="s">
        <v>9</v>
      </c>
      <c r="D238" s="1" t="s">
        <v>805</v>
      </c>
      <c r="E238" s="1" t="s">
        <v>29</v>
      </c>
      <c r="F238" s="1" t="s">
        <v>806</v>
      </c>
      <c r="G238" s="140">
        <v>2.0322E-2</v>
      </c>
      <c r="H238"/>
    </row>
    <row r="239" spans="1:8" x14ac:dyDescent="0.2">
      <c r="A239" s="1" t="s">
        <v>1078</v>
      </c>
      <c r="B239" s="1" t="s">
        <v>220</v>
      </c>
      <c r="C239" s="1" t="s">
        <v>9</v>
      </c>
      <c r="D239" s="1" t="s">
        <v>14</v>
      </c>
      <c r="E239" s="1" t="s">
        <v>29</v>
      </c>
      <c r="F239" s="1" t="s">
        <v>14</v>
      </c>
      <c r="G239" s="140">
        <v>0.134021</v>
      </c>
      <c r="H239"/>
    </row>
    <row r="240" spans="1:8" x14ac:dyDescent="0.2">
      <c r="A240" s="1" t="s">
        <v>1079</v>
      </c>
      <c r="B240" s="1" t="s">
        <v>220</v>
      </c>
      <c r="C240" s="1" t="s">
        <v>9</v>
      </c>
      <c r="D240" s="1" t="s">
        <v>809</v>
      </c>
      <c r="E240" s="1" t="s">
        <v>29</v>
      </c>
      <c r="F240" s="1" t="s">
        <v>810</v>
      </c>
      <c r="G240" s="140">
        <v>5.5260099999999996E-3</v>
      </c>
      <c r="H240"/>
    </row>
    <row r="241" spans="1:8" x14ac:dyDescent="0.2">
      <c r="A241" s="1" t="s">
        <v>1080</v>
      </c>
      <c r="B241" s="1" t="s">
        <v>220</v>
      </c>
      <c r="C241" s="1" t="s">
        <v>9</v>
      </c>
      <c r="D241" s="1" t="s">
        <v>957</v>
      </c>
      <c r="E241" s="1" t="s">
        <v>29</v>
      </c>
      <c r="F241" s="1" t="s">
        <v>957</v>
      </c>
      <c r="G241" s="140">
        <v>1.1789000000000001E-3</v>
      </c>
      <c r="H241"/>
    </row>
    <row r="242" spans="1:8" x14ac:dyDescent="0.2">
      <c r="A242" s="1" t="s">
        <v>1081</v>
      </c>
      <c r="B242" s="1" t="s">
        <v>220</v>
      </c>
      <c r="C242" s="1" t="s">
        <v>9</v>
      </c>
      <c r="D242" s="1" t="s">
        <v>15</v>
      </c>
      <c r="E242" s="1" t="s">
        <v>29</v>
      </c>
      <c r="F242" s="1" t="s">
        <v>24</v>
      </c>
      <c r="G242" s="140">
        <v>2.1558999999999998E-2</v>
      </c>
      <c r="H242"/>
    </row>
    <row r="243" spans="1:8" x14ac:dyDescent="0.2">
      <c r="A243" s="1" t="s">
        <v>1193</v>
      </c>
      <c r="B243" s="1" t="s">
        <v>220</v>
      </c>
      <c r="C243" s="1" t="s">
        <v>9</v>
      </c>
      <c r="D243" s="1" t="s">
        <v>1173</v>
      </c>
      <c r="E243" s="1" t="s">
        <v>29</v>
      </c>
      <c r="F243" s="1" t="s">
        <v>1179</v>
      </c>
      <c r="G243" s="140">
        <v>5.7000000000000002E-3</v>
      </c>
      <c r="H243"/>
    </row>
    <row r="244" spans="1:8" x14ac:dyDescent="0.2">
      <c r="A244" s="1" t="s">
        <v>1082</v>
      </c>
      <c r="B244" s="1" t="s">
        <v>220</v>
      </c>
      <c r="C244" s="1" t="s">
        <v>9</v>
      </c>
      <c r="D244" s="1" t="s">
        <v>812</v>
      </c>
      <c r="E244" s="1" t="s">
        <v>29</v>
      </c>
      <c r="F244" s="1" t="s">
        <v>812</v>
      </c>
      <c r="G244" s="140">
        <v>3.4735000000000001E-4</v>
      </c>
      <c r="H244"/>
    </row>
    <row r="245" spans="1:8" x14ac:dyDescent="0.2">
      <c r="A245" s="1" t="s">
        <v>1083</v>
      </c>
      <c r="B245" s="1" t="s">
        <v>220</v>
      </c>
      <c r="C245" s="1" t="s">
        <v>9</v>
      </c>
      <c r="D245" s="1" t="s">
        <v>588</v>
      </c>
      <c r="E245" s="1" t="s">
        <v>29</v>
      </c>
      <c r="F245" s="1" t="s">
        <v>588</v>
      </c>
      <c r="G245" s="140">
        <v>8.9599999999999992E-3</v>
      </c>
      <c r="H245"/>
    </row>
    <row r="246" spans="1:8" x14ac:dyDescent="0.2">
      <c r="A246" s="1" t="s">
        <v>1194</v>
      </c>
      <c r="B246" s="1" t="s">
        <v>220</v>
      </c>
      <c r="C246" s="1" t="s">
        <v>9</v>
      </c>
      <c r="D246" s="1" t="s">
        <v>1181</v>
      </c>
      <c r="E246" s="1" t="s">
        <v>29</v>
      </c>
      <c r="F246" s="1" t="s">
        <v>1182</v>
      </c>
      <c r="G246" s="140">
        <v>9.8904000000000006E-4</v>
      </c>
      <c r="H246"/>
    </row>
    <row r="247" spans="1:8" x14ac:dyDescent="0.2">
      <c r="A247" s="1" t="s">
        <v>1084</v>
      </c>
      <c r="B247" s="1" t="s">
        <v>220</v>
      </c>
      <c r="C247" s="1" t="s">
        <v>9</v>
      </c>
      <c r="D247" s="1" t="s">
        <v>962</v>
      </c>
      <c r="E247" s="1" t="s">
        <v>29</v>
      </c>
      <c r="F247" s="1" t="s">
        <v>963</v>
      </c>
      <c r="G247" s="140">
        <v>6.9510000000000004E-5</v>
      </c>
      <c r="H247"/>
    </row>
    <row r="248" spans="1:8" x14ac:dyDescent="0.2">
      <c r="A248" s="1" t="s">
        <v>1085</v>
      </c>
      <c r="B248" s="1" t="s">
        <v>220</v>
      </c>
      <c r="C248" s="1" t="s">
        <v>9</v>
      </c>
      <c r="D248" s="1" t="s">
        <v>221</v>
      </c>
      <c r="E248" s="1" t="s">
        <v>29</v>
      </c>
      <c r="F248" s="1" t="s">
        <v>649</v>
      </c>
      <c r="G248" s="140">
        <v>7.2756000000000003E-4</v>
      </c>
      <c r="H248"/>
    </row>
    <row r="249" spans="1:8" x14ac:dyDescent="0.2">
      <c r="A249" s="1" t="s">
        <v>1086</v>
      </c>
      <c r="B249" s="1" t="s">
        <v>220</v>
      </c>
      <c r="C249" s="1" t="s">
        <v>9</v>
      </c>
      <c r="D249" s="1" t="s">
        <v>966</v>
      </c>
      <c r="E249" s="1" t="s">
        <v>29</v>
      </c>
      <c r="F249" s="1" t="s">
        <v>967</v>
      </c>
      <c r="G249" s="140">
        <v>3.1406000000000003E-2</v>
      </c>
      <c r="H249"/>
    </row>
    <row r="250" spans="1:8" x14ac:dyDescent="0.2">
      <c r="A250" s="1" t="s">
        <v>1238</v>
      </c>
      <c r="B250" s="1" t="s">
        <v>220</v>
      </c>
      <c r="C250" s="1" t="s">
        <v>9</v>
      </c>
      <c r="D250" s="1" t="s">
        <v>1235</v>
      </c>
      <c r="E250" s="1" t="s">
        <v>29</v>
      </c>
      <c r="F250" s="1" t="s">
        <v>1236</v>
      </c>
      <c r="G250" s="140">
        <v>3.8549999999999999E-4</v>
      </c>
      <c r="H250"/>
    </row>
    <row r="251" spans="1:8" x14ac:dyDescent="0.2">
      <c r="A251" s="1" t="s">
        <v>1087</v>
      </c>
      <c r="B251" s="1" t="s">
        <v>220</v>
      </c>
      <c r="C251" s="1" t="s">
        <v>9</v>
      </c>
      <c r="D251" s="1" t="s">
        <v>816</v>
      </c>
      <c r="E251" s="1" t="s">
        <v>29</v>
      </c>
      <c r="F251" s="1" t="s">
        <v>817</v>
      </c>
      <c r="G251" s="140">
        <v>2.7428000000000001E-4</v>
      </c>
      <c r="H251"/>
    </row>
    <row r="252" spans="1:8" x14ac:dyDescent="0.2">
      <c r="A252" s="1" t="s">
        <v>1088</v>
      </c>
      <c r="B252" s="1" t="s">
        <v>220</v>
      </c>
      <c r="C252" s="1" t="s">
        <v>9</v>
      </c>
      <c r="D252" s="1" t="s">
        <v>39</v>
      </c>
      <c r="E252" s="1" t="s">
        <v>29</v>
      </c>
      <c r="F252" s="1" t="s">
        <v>38</v>
      </c>
      <c r="G252" s="140">
        <v>3.6477000000000002E-2</v>
      </c>
      <c r="H252"/>
    </row>
    <row r="253" spans="1:8" x14ac:dyDescent="0.2">
      <c r="A253" s="1" t="s">
        <v>1089</v>
      </c>
      <c r="B253" s="1" t="s">
        <v>220</v>
      </c>
      <c r="C253" s="1" t="s">
        <v>9</v>
      </c>
      <c r="D253" s="1" t="s">
        <v>187</v>
      </c>
      <c r="E253" s="1" t="s">
        <v>29</v>
      </c>
      <c r="F253" s="1" t="s">
        <v>215</v>
      </c>
      <c r="G253" s="140">
        <v>2.0969000000000001E-4</v>
      </c>
      <c r="H253"/>
    </row>
    <row r="254" spans="1:8" x14ac:dyDescent="0.2">
      <c r="A254" s="1" t="s">
        <v>1090</v>
      </c>
      <c r="B254" s="1" t="s">
        <v>220</v>
      </c>
      <c r="C254" s="1" t="s">
        <v>9</v>
      </c>
      <c r="D254" s="1" t="s">
        <v>820</v>
      </c>
      <c r="E254" s="1" t="s">
        <v>29</v>
      </c>
      <c r="F254" s="1" t="s">
        <v>821</v>
      </c>
      <c r="G254" s="140">
        <v>3.6416E-3</v>
      </c>
      <c r="H254"/>
    </row>
    <row r="255" spans="1:8" x14ac:dyDescent="0.2">
      <c r="A255" s="1" t="s">
        <v>1091</v>
      </c>
      <c r="B255" s="1" t="s">
        <v>220</v>
      </c>
      <c r="C255" s="1" t="s">
        <v>9</v>
      </c>
      <c r="D255" s="1" t="s">
        <v>235</v>
      </c>
      <c r="E255" s="1" t="s">
        <v>29</v>
      </c>
      <c r="F255" s="1" t="s">
        <v>973</v>
      </c>
      <c r="G255" s="140">
        <v>4.5496000000000002E-4</v>
      </c>
      <c r="H255"/>
    </row>
    <row r="256" spans="1:8" x14ac:dyDescent="0.2">
      <c r="A256" s="1" t="s">
        <v>1092</v>
      </c>
      <c r="B256" s="1" t="s">
        <v>220</v>
      </c>
      <c r="C256" s="1" t="s">
        <v>9</v>
      </c>
      <c r="D256" s="1" t="s">
        <v>600</v>
      </c>
      <c r="E256" s="1" t="s">
        <v>29</v>
      </c>
      <c r="F256" s="1" t="s">
        <v>669</v>
      </c>
      <c r="G256" s="140">
        <v>2.1189999999999998E-3</v>
      </c>
      <c r="H256"/>
    </row>
    <row r="257" spans="1:8" x14ac:dyDescent="0.2">
      <c r="A257" s="1" t="s">
        <v>1133</v>
      </c>
      <c r="B257" s="1" t="s">
        <v>220</v>
      </c>
      <c r="C257" s="1" t="s">
        <v>9</v>
      </c>
      <c r="D257" s="1" t="s">
        <v>1130</v>
      </c>
      <c r="E257" s="1" t="s">
        <v>29</v>
      </c>
      <c r="F257" s="1" t="s">
        <v>1131</v>
      </c>
      <c r="G257" s="140">
        <v>1.8736E-4</v>
      </c>
      <c r="H257"/>
    </row>
    <row r="258" spans="1:8" x14ac:dyDescent="0.2">
      <c r="A258" s="1" t="s">
        <v>1093</v>
      </c>
      <c r="B258" s="1" t="s">
        <v>220</v>
      </c>
      <c r="C258" s="1" t="s">
        <v>9</v>
      </c>
      <c r="D258" s="1" t="s">
        <v>194</v>
      </c>
      <c r="E258" s="1" t="s">
        <v>29</v>
      </c>
      <c r="F258" s="1" t="s">
        <v>194</v>
      </c>
      <c r="G258" s="140">
        <v>5.4130000000000003E-3</v>
      </c>
      <c r="H258"/>
    </row>
    <row r="259" spans="1:8" x14ac:dyDescent="0.2">
      <c r="A259" s="1" t="s">
        <v>1094</v>
      </c>
      <c r="B259" s="1" t="s">
        <v>220</v>
      </c>
      <c r="C259" s="1" t="s">
        <v>9</v>
      </c>
      <c r="D259" s="1" t="s">
        <v>977</v>
      </c>
      <c r="E259" s="1" t="s">
        <v>29</v>
      </c>
      <c r="F259" s="1" t="s">
        <v>978</v>
      </c>
      <c r="G259" s="140">
        <v>1.3554999999999999E-4</v>
      </c>
      <c r="H259"/>
    </row>
    <row r="260" spans="1:8" x14ac:dyDescent="0.2">
      <c r="A260" s="1" t="s">
        <v>1095</v>
      </c>
      <c r="B260" s="1" t="s">
        <v>220</v>
      </c>
      <c r="C260" s="1" t="s">
        <v>9</v>
      </c>
      <c r="D260" s="1" t="s">
        <v>980</v>
      </c>
      <c r="E260" s="1" t="s">
        <v>29</v>
      </c>
      <c r="F260" s="1" t="s">
        <v>981</v>
      </c>
      <c r="G260" s="140">
        <v>2.6547000000000002E-4</v>
      </c>
      <c r="H260"/>
    </row>
    <row r="261" spans="1:8" x14ac:dyDescent="0.2">
      <c r="A261" s="1" t="s">
        <v>1096</v>
      </c>
      <c r="B261" s="1" t="s">
        <v>220</v>
      </c>
      <c r="C261" s="1" t="s">
        <v>9</v>
      </c>
      <c r="D261" s="1" t="s">
        <v>78</v>
      </c>
      <c r="E261" s="1" t="s">
        <v>29</v>
      </c>
      <c r="F261" s="1" t="s">
        <v>650</v>
      </c>
      <c r="G261" s="140">
        <v>2.2222E-4</v>
      </c>
      <c r="H261"/>
    </row>
    <row r="262" spans="1:8" x14ac:dyDescent="0.2">
      <c r="A262" s="1" t="s">
        <v>1097</v>
      </c>
      <c r="B262" s="1" t="s">
        <v>220</v>
      </c>
      <c r="C262" s="1" t="s">
        <v>9</v>
      </c>
      <c r="D262" s="1" t="s">
        <v>49</v>
      </c>
      <c r="E262" s="1" t="s">
        <v>29</v>
      </c>
      <c r="F262" s="1" t="s">
        <v>711</v>
      </c>
      <c r="G262" s="140">
        <v>4.052E-3</v>
      </c>
      <c r="H262"/>
    </row>
    <row r="263" spans="1:8" x14ac:dyDescent="0.2">
      <c r="A263" s="1" t="s">
        <v>1098</v>
      </c>
      <c r="B263" s="1" t="s">
        <v>220</v>
      </c>
      <c r="C263" s="1" t="s">
        <v>9</v>
      </c>
      <c r="D263" s="1" t="s">
        <v>88</v>
      </c>
      <c r="E263" s="1" t="s">
        <v>29</v>
      </c>
      <c r="F263" s="1" t="s">
        <v>87</v>
      </c>
      <c r="G263" s="140">
        <v>1.6888999999999999E-3</v>
      </c>
      <c r="H263"/>
    </row>
    <row r="264" spans="1:8" x14ac:dyDescent="0.2">
      <c r="A264" s="1" t="s">
        <v>1207</v>
      </c>
      <c r="B264" s="1" t="s">
        <v>220</v>
      </c>
      <c r="C264" s="1" t="s">
        <v>9</v>
      </c>
      <c r="D264" s="1" t="s">
        <v>1204</v>
      </c>
      <c r="E264" s="1" t="s">
        <v>29</v>
      </c>
      <c r="F264" s="1" t="s">
        <v>1205</v>
      </c>
      <c r="G264" s="140">
        <v>9.5589999999999998E-5</v>
      </c>
      <c r="H264"/>
    </row>
    <row r="265" spans="1:8" x14ac:dyDescent="0.2">
      <c r="A265" s="1" t="s">
        <v>1099</v>
      </c>
      <c r="B265" s="1" t="s">
        <v>220</v>
      </c>
      <c r="C265" s="1" t="s">
        <v>9</v>
      </c>
      <c r="D265" s="1" t="s">
        <v>46</v>
      </c>
      <c r="E265" s="1" t="s">
        <v>29</v>
      </c>
      <c r="F265" s="1" t="s">
        <v>45</v>
      </c>
      <c r="G265" s="140">
        <v>9.7389999999999994E-3</v>
      </c>
      <c r="H265"/>
    </row>
    <row r="266" spans="1:8" x14ac:dyDescent="0.2">
      <c r="A266" s="1" t="s">
        <v>1100</v>
      </c>
      <c r="B266" s="1" t="s">
        <v>220</v>
      </c>
      <c r="C266" s="1" t="s">
        <v>9</v>
      </c>
      <c r="D266" s="1" t="s">
        <v>987</v>
      </c>
      <c r="E266" s="1" t="s">
        <v>29</v>
      </c>
      <c r="F266" s="1" t="s">
        <v>988</v>
      </c>
      <c r="G266" s="140">
        <v>8.7051999999999995E-4</v>
      </c>
      <c r="H266"/>
    </row>
    <row r="267" spans="1:8" x14ac:dyDescent="0.2">
      <c r="A267" s="1" t="s">
        <v>1240</v>
      </c>
      <c r="B267" s="1" t="s">
        <v>220</v>
      </c>
      <c r="C267" s="1" t="s">
        <v>9</v>
      </c>
      <c r="D267" s="1" t="s">
        <v>614</v>
      </c>
      <c r="E267" s="1" t="s">
        <v>29</v>
      </c>
      <c r="F267" s="1" t="s">
        <v>644</v>
      </c>
      <c r="G267" s="140">
        <v>7.27E-4</v>
      </c>
      <c r="H267"/>
    </row>
    <row r="268" spans="1:8" x14ac:dyDescent="0.2">
      <c r="A268" s="1" t="s">
        <v>1101</v>
      </c>
      <c r="B268" s="1" t="s">
        <v>220</v>
      </c>
      <c r="C268" s="1" t="s">
        <v>9</v>
      </c>
      <c r="D268" s="1" t="s">
        <v>990</v>
      </c>
      <c r="E268" s="1" t="s">
        <v>29</v>
      </c>
      <c r="F268" s="1" t="s">
        <v>991</v>
      </c>
      <c r="G268" s="140">
        <v>7.2000000000000002E-5</v>
      </c>
      <c r="H268"/>
    </row>
    <row r="269" spans="1:8" x14ac:dyDescent="0.2">
      <c r="A269" s="1" t="s">
        <v>1102</v>
      </c>
      <c r="B269" s="1" t="s">
        <v>220</v>
      </c>
      <c r="C269" s="1" t="s">
        <v>9</v>
      </c>
      <c r="D269" s="1" t="s">
        <v>993</v>
      </c>
      <c r="E269" s="1" t="s">
        <v>29</v>
      </c>
      <c r="F269" s="1" t="s">
        <v>994</v>
      </c>
      <c r="G269" s="140">
        <v>1.8626999999999999E-4</v>
      </c>
      <c r="H269"/>
    </row>
    <row r="270" spans="1:8" x14ac:dyDescent="0.2">
      <c r="A270" s="1" t="s">
        <v>1103</v>
      </c>
      <c r="B270" s="1" t="s">
        <v>220</v>
      </c>
      <c r="C270" s="1" t="s">
        <v>9</v>
      </c>
      <c r="D270" s="1" t="s">
        <v>825</v>
      </c>
      <c r="E270" s="1" t="s">
        <v>29</v>
      </c>
      <c r="F270" s="1" t="s">
        <v>826</v>
      </c>
      <c r="G270" s="140">
        <v>2.068E-3</v>
      </c>
      <c r="H270"/>
    </row>
    <row r="271" spans="1:8" x14ac:dyDescent="0.2">
      <c r="A271" s="1" t="s">
        <v>1104</v>
      </c>
      <c r="B271" s="1" t="s">
        <v>220</v>
      </c>
      <c r="C271" s="1" t="s">
        <v>9</v>
      </c>
      <c r="D271" s="1" t="s">
        <v>185</v>
      </c>
      <c r="E271" s="1" t="s">
        <v>29</v>
      </c>
      <c r="F271" s="1" t="s">
        <v>997</v>
      </c>
      <c r="G271" s="140">
        <v>1.1292E-4</v>
      </c>
      <c r="H271"/>
    </row>
    <row r="272" spans="1:8" x14ac:dyDescent="0.2">
      <c r="A272" s="1" t="s">
        <v>1105</v>
      </c>
      <c r="B272" s="1" t="s">
        <v>220</v>
      </c>
      <c r="C272" s="1" t="s">
        <v>9</v>
      </c>
      <c r="D272" s="1" t="s">
        <v>183</v>
      </c>
      <c r="E272" s="1" t="s">
        <v>29</v>
      </c>
      <c r="F272" s="1" t="s">
        <v>828</v>
      </c>
      <c r="G272" s="140">
        <v>6.254E-3</v>
      </c>
      <c r="H272"/>
    </row>
    <row r="273" spans="1:8" x14ac:dyDescent="0.2">
      <c r="A273" s="1" t="s">
        <v>1106</v>
      </c>
      <c r="B273" s="1" t="s">
        <v>220</v>
      </c>
      <c r="C273" s="1" t="s">
        <v>9</v>
      </c>
      <c r="D273" s="1" t="s">
        <v>623</v>
      </c>
      <c r="E273" s="1" t="s">
        <v>29</v>
      </c>
      <c r="F273" s="1" t="s">
        <v>645</v>
      </c>
      <c r="G273" s="140">
        <v>3.1779999999999998E-3</v>
      </c>
      <c r="H273"/>
    </row>
    <row r="274" spans="1:8" x14ac:dyDescent="0.2">
      <c r="A274" s="1" t="s">
        <v>1107</v>
      </c>
      <c r="B274" s="1" t="s">
        <v>220</v>
      </c>
      <c r="C274" s="1" t="s">
        <v>9</v>
      </c>
      <c r="D274" s="1" t="s">
        <v>198</v>
      </c>
      <c r="E274" s="1" t="s">
        <v>29</v>
      </c>
      <c r="F274" s="1" t="s">
        <v>199</v>
      </c>
      <c r="G274" s="140">
        <v>3.0034000000000001E-4</v>
      </c>
      <c r="H274"/>
    </row>
    <row r="275" spans="1:8" x14ac:dyDescent="0.2">
      <c r="A275" s="1" t="s">
        <v>1108</v>
      </c>
      <c r="B275" s="1" t="s">
        <v>220</v>
      </c>
      <c r="C275" s="1" t="s">
        <v>9</v>
      </c>
      <c r="D275" s="1" t="s">
        <v>1002</v>
      </c>
      <c r="E275" s="1" t="s">
        <v>29</v>
      </c>
      <c r="F275" s="1" t="s">
        <v>1002</v>
      </c>
      <c r="G275" s="140">
        <v>4.328E-4</v>
      </c>
      <c r="H275"/>
    </row>
    <row r="276" spans="1:8" x14ac:dyDescent="0.2">
      <c r="A276" s="1" t="s">
        <v>1109</v>
      </c>
      <c r="B276" s="1" t="s">
        <v>220</v>
      </c>
      <c r="C276" s="1" t="s">
        <v>9</v>
      </c>
      <c r="D276" s="1" t="s">
        <v>831</v>
      </c>
      <c r="E276" s="1" t="s">
        <v>29</v>
      </c>
      <c r="F276" s="1" t="s">
        <v>832</v>
      </c>
      <c r="G276" s="140">
        <v>1.6418800000000001E-3</v>
      </c>
      <c r="H276"/>
    </row>
    <row r="277" spans="1:8" x14ac:dyDescent="0.2">
      <c r="A277" s="1" t="s">
        <v>1224</v>
      </c>
      <c r="B277" s="1" t="s">
        <v>220</v>
      </c>
      <c r="C277" s="1" t="s">
        <v>9</v>
      </c>
      <c r="D277" s="1" t="s">
        <v>1222</v>
      </c>
      <c r="E277" s="1" t="s">
        <v>29</v>
      </c>
      <c r="F277" s="1" t="s">
        <v>1225</v>
      </c>
      <c r="G277" s="140">
        <v>7.6692000000000001E-3</v>
      </c>
      <c r="H277"/>
    </row>
    <row r="278" spans="1:8" x14ac:dyDescent="0.2">
      <c r="A278" s="1" t="s">
        <v>1110</v>
      </c>
      <c r="B278" s="1" t="s">
        <v>220</v>
      </c>
      <c r="C278" s="1" t="s">
        <v>9</v>
      </c>
      <c r="D278" s="1" t="s">
        <v>44</v>
      </c>
      <c r="E278" s="1" t="s">
        <v>29</v>
      </c>
      <c r="F278" s="1" t="s">
        <v>43</v>
      </c>
      <c r="G278" s="140">
        <v>9.3810000000000004E-3</v>
      </c>
      <c r="H278"/>
    </row>
    <row r="279" spans="1:8" x14ac:dyDescent="0.2">
      <c r="A279" s="1" t="s">
        <v>1111</v>
      </c>
      <c r="B279" s="1" t="s">
        <v>220</v>
      </c>
      <c r="C279" s="1" t="s">
        <v>9</v>
      </c>
      <c r="D279" s="1" t="s">
        <v>627</v>
      </c>
      <c r="E279" s="1" t="s">
        <v>29</v>
      </c>
      <c r="F279" s="1" t="s">
        <v>651</v>
      </c>
      <c r="G279" s="140">
        <v>9.5719999999999996E-4</v>
      </c>
      <c r="H279"/>
    </row>
    <row r="280" spans="1:8" x14ac:dyDescent="0.2">
      <c r="A280" s="1" t="s">
        <v>1229</v>
      </c>
      <c r="B280" s="1" t="s">
        <v>220</v>
      </c>
      <c r="C280" s="1" t="s">
        <v>9</v>
      </c>
      <c r="D280" s="1" t="s">
        <v>1227</v>
      </c>
      <c r="E280" s="1" t="s">
        <v>29</v>
      </c>
      <c r="F280" s="1" t="s">
        <v>1228</v>
      </c>
      <c r="G280" s="140">
        <v>2.4899999999999998E-4</v>
      </c>
      <c r="H280"/>
    </row>
    <row r="281" spans="1:8" x14ac:dyDescent="0.2">
      <c r="A281" s="1" t="s">
        <v>1112</v>
      </c>
      <c r="B281" s="1" t="s">
        <v>220</v>
      </c>
      <c r="C281" s="1" t="s">
        <v>9</v>
      </c>
      <c r="D281" s="1" t="s">
        <v>85</v>
      </c>
      <c r="E281" s="1" t="s">
        <v>29</v>
      </c>
      <c r="F281" s="1" t="s">
        <v>1138</v>
      </c>
      <c r="G281" s="140">
        <v>2.7297999999999999E-2</v>
      </c>
      <c r="H281"/>
    </row>
    <row r="282" spans="1:8" x14ac:dyDescent="0.2">
      <c r="A282" s="1" t="s">
        <v>1216</v>
      </c>
      <c r="B282" s="1" t="s">
        <v>220</v>
      </c>
      <c r="C282" s="1" t="s">
        <v>9</v>
      </c>
      <c r="D282" s="1" t="s">
        <v>631</v>
      </c>
      <c r="E282" s="1" t="s">
        <v>29</v>
      </c>
      <c r="F282" s="1" t="s">
        <v>646</v>
      </c>
      <c r="G282" s="140">
        <v>5.5827999999999997E-4</v>
      </c>
      <c r="H282"/>
    </row>
    <row r="283" spans="1:8" x14ac:dyDescent="0.2">
      <c r="A283" s="1" t="s">
        <v>1113</v>
      </c>
      <c r="B283" s="1" t="s">
        <v>220</v>
      </c>
      <c r="C283" s="1" t="s">
        <v>9</v>
      </c>
      <c r="D283" s="1" t="s">
        <v>58</v>
      </c>
      <c r="E283" s="1" t="s">
        <v>29</v>
      </c>
      <c r="F283" s="1" t="s">
        <v>247</v>
      </c>
      <c r="G283" s="140">
        <v>4.8581999999999998E-4</v>
      </c>
      <c r="H283"/>
    </row>
    <row r="284" spans="1:8" x14ac:dyDescent="0.2">
      <c r="A284" s="1" t="s">
        <v>1114</v>
      </c>
      <c r="B284" s="1" t="s">
        <v>220</v>
      </c>
      <c r="C284" s="1" t="s">
        <v>9</v>
      </c>
      <c r="D284" s="1" t="s">
        <v>33</v>
      </c>
      <c r="E284" s="1" t="s">
        <v>29</v>
      </c>
      <c r="F284" s="1" t="s">
        <v>32</v>
      </c>
      <c r="G284" s="140">
        <v>0.44222</v>
      </c>
      <c r="H284"/>
    </row>
    <row r="285" spans="1:8" x14ac:dyDescent="0.2">
      <c r="A285" s="1" t="s">
        <v>1115</v>
      </c>
      <c r="B285" s="1" t="s">
        <v>220</v>
      </c>
      <c r="C285" s="1" t="s">
        <v>9</v>
      </c>
      <c r="D285" s="1" t="s">
        <v>27</v>
      </c>
      <c r="E285" s="1" t="s">
        <v>29</v>
      </c>
      <c r="F285" s="1" t="s">
        <v>28</v>
      </c>
      <c r="G285" s="140">
        <v>1.29846E-3</v>
      </c>
      <c r="H285"/>
    </row>
    <row r="286" spans="1:8" x14ac:dyDescent="0.2">
      <c r="A286" s="1" t="s">
        <v>1116</v>
      </c>
      <c r="B286" s="1" t="s">
        <v>220</v>
      </c>
      <c r="C286" s="1" t="s">
        <v>9</v>
      </c>
      <c r="D286" s="1" t="s">
        <v>80</v>
      </c>
      <c r="E286" s="1" t="s">
        <v>29</v>
      </c>
      <c r="F286" s="1" t="s">
        <v>79</v>
      </c>
      <c r="G286" s="140">
        <v>9.365E-5</v>
      </c>
      <c r="H286"/>
    </row>
    <row r="287" spans="1:8" x14ac:dyDescent="0.2">
      <c r="A287" s="1" t="s">
        <v>1117</v>
      </c>
      <c r="B287" s="1" t="s">
        <v>220</v>
      </c>
      <c r="C287" s="1" t="s">
        <v>9</v>
      </c>
      <c r="D287" s="1" t="s">
        <v>97</v>
      </c>
      <c r="E287" s="1" t="s">
        <v>29</v>
      </c>
      <c r="F287" s="1" t="s">
        <v>96</v>
      </c>
      <c r="G287" s="140">
        <v>7.2950000000000001E-2</v>
      </c>
      <c r="H287"/>
    </row>
    <row r="288" spans="1:8" x14ac:dyDescent="0.2">
      <c r="A288" s="1" t="s">
        <v>1118</v>
      </c>
      <c r="B288" s="1" t="s">
        <v>220</v>
      </c>
      <c r="C288" s="1" t="s">
        <v>9</v>
      </c>
      <c r="D288" s="1" t="s">
        <v>838</v>
      </c>
      <c r="E288" s="1" t="s">
        <v>29</v>
      </c>
      <c r="F288" s="1"/>
      <c r="G288" s="140">
        <v>1.8714E-4</v>
      </c>
      <c r="H288"/>
    </row>
    <row r="289" spans="1:8" x14ac:dyDescent="0.2">
      <c r="A289" s="1" t="s">
        <v>1119</v>
      </c>
      <c r="B289" s="1" t="s">
        <v>220</v>
      </c>
      <c r="C289" s="1" t="s">
        <v>9</v>
      </c>
      <c r="D289" s="1" t="s">
        <v>16</v>
      </c>
      <c r="E289" s="1" t="s">
        <v>29</v>
      </c>
      <c r="F289" s="1" t="s">
        <v>40</v>
      </c>
      <c r="G289" s="140">
        <v>0.48874000000000001</v>
      </c>
      <c r="H289"/>
    </row>
    <row r="290" spans="1:8" x14ac:dyDescent="0.2">
      <c r="A290" s="1" t="s">
        <v>1195</v>
      </c>
      <c r="B290" s="1" t="s">
        <v>220</v>
      </c>
      <c r="C290" s="1" t="s">
        <v>9</v>
      </c>
      <c r="D290" s="1" t="s">
        <v>1184</v>
      </c>
      <c r="E290" s="1" t="s">
        <v>29</v>
      </c>
      <c r="F290" s="1" t="s">
        <v>1185</v>
      </c>
      <c r="G290" s="140">
        <v>1.1199E-4</v>
      </c>
      <c r="H290"/>
    </row>
    <row r="291" spans="1:8" x14ac:dyDescent="0.2">
      <c r="A291" s="1" t="s">
        <v>1120</v>
      </c>
      <c r="B291" s="1" t="s">
        <v>220</v>
      </c>
      <c r="C291" s="1" t="s">
        <v>9</v>
      </c>
      <c r="D291" s="1" t="s">
        <v>71</v>
      </c>
      <c r="E291" s="1" t="s">
        <v>29</v>
      </c>
      <c r="F291" s="1" t="s">
        <v>647</v>
      </c>
      <c r="G291" s="140">
        <v>1.3073900000000001E-3</v>
      </c>
      <c r="H291"/>
    </row>
    <row r="292" spans="1:8" x14ac:dyDescent="0.2">
      <c r="A292" s="1" t="s">
        <v>1164</v>
      </c>
      <c r="B292" s="1" t="s">
        <v>220</v>
      </c>
      <c r="C292" s="1" t="s">
        <v>42</v>
      </c>
      <c r="D292" s="1" t="s">
        <v>30</v>
      </c>
      <c r="E292" s="1" t="s">
        <v>41</v>
      </c>
      <c r="F292" s="1" t="s">
        <v>19</v>
      </c>
      <c r="G292" s="140">
        <v>710.63</v>
      </c>
      <c r="H292"/>
    </row>
    <row r="293" spans="1:8" x14ac:dyDescent="0.2">
      <c r="A293" s="1" t="s">
        <v>1121</v>
      </c>
      <c r="B293" s="1" t="s">
        <v>220</v>
      </c>
      <c r="C293" s="1" t="s">
        <v>42</v>
      </c>
      <c r="D293" s="1" t="s">
        <v>74</v>
      </c>
      <c r="E293" s="1" t="s">
        <v>41</v>
      </c>
      <c r="F293" s="1" t="s">
        <v>758</v>
      </c>
      <c r="G293" s="140">
        <v>9.9999000000000002</v>
      </c>
      <c r="H293"/>
    </row>
    <row r="294" spans="1:8" x14ac:dyDescent="0.2">
      <c r="A294" s="1" t="s">
        <v>1122</v>
      </c>
      <c r="B294" s="1" t="s">
        <v>220</v>
      </c>
      <c r="C294" s="1" t="s">
        <v>42</v>
      </c>
      <c r="D294" s="1" t="s">
        <v>10</v>
      </c>
      <c r="E294" s="1" t="s">
        <v>41</v>
      </c>
      <c r="F294" s="1" t="s">
        <v>20</v>
      </c>
      <c r="G294" s="140">
        <v>6882.01</v>
      </c>
      <c r="H294"/>
    </row>
    <row r="295" spans="1:8" x14ac:dyDescent="0.2">
      <c r="A295" s="1" t="s">
        <v>1123</v>
      </c>
      <c r="B295" s="1" t="s">
        <v>220</v>
      </c>
      <c r="C295" s="1" t="s">
        <v>42</v>
      </c>
      <c r="D295" s="1" t="s">
        <v>9</v>
      </c>
      <c r="E295" s="1" t="s">
        <v>41</v>
      </c>
      <c r="F295" s="1" t="s">
        <v>29</v>
      </c>
      <c r="G295" s="140">
        <v>377.84</v>
      </c>
      <c r="H295"/>
    </row>
    <row r="296" spans="1:8" x14ac:dyDescent="0.2">
      <c r="A296" s="1" t="s">
        <v>1124</v>
      </c>
      <c r="B296" s="1" t="s">
        <v>220</v>
      </c>
      <c r="C296" s="1" t="s">
        <v>42</v>
      </c>
      <c r="D296" s="1" t="s">
        <v>13</v>
      </c>
      <c r="E296" s="1" t="s">
        <v>41</v>
      </c>
      <c r="F296" s="1" t="s">
        <v>23</v>
      </c>
      <c r="G296" s="140">
        <v>112.92</v>
      </c>
      <c r="H296"/>
    </row>
    <row r="297" spans="1:8" x14ac:dyDescent="0.2">
      <c r="A297" s="1" t="s">
        <v>1125</v>
      </c>
      <c r="B297" s="1" t="s">
        <v>220</v>
      </c>
      <c r="C297" s="1" t="s">
        <v>42</v>
      </c>
      <c r="D297" s="1" t="s">
        <v>14</v>
      </c>
      <c r="E297" s="1" t="s">
        <v>41</v>
      </c>
      <c r="F297" s="1" t="s">
        <v>14</v>
      </c>
      <c r="G297" s="140">
        <v>50.591000000000001</v>
      </c>
      <c r="H297"/>
    </row>
    <row r="298" spans="1:8" x14ac:dyDescent="0.2">
      <c r="A298" s="1" t="s">
        <v>1212</v>
      </c>
      <c r="B298" s="1" t="s">
        <v>220</v>
      </c>
      <c r="C298" s="1" t="s">
        <v>42</v>
      </c>
      <c r="D298" s="1" t="s">
        <v>39</v>
      </c>
      <c r="E298" s="1" t="s">
        <v>41</v>
      </c>
      <c r="F298" s="1" t="s">
        <v>38</v>
      </c>
      <c r="G298" s="140">
        <v>13.781000000000001</v>
      </c>
      <c r="H298"/>
    </row>
    <row r="299" spans="1:8" x14ac:dyDescent="0.2">
      <c r="A299" s="1" t="s">
        <v>260</v>
      </c>
      <c r="B299" s="1" t="s">
        <v>204</v>
      </c>
      <c r="C299" s="1" t="s">
        <v>10</v>
      </c>
      <c r="D299" s="1" t="s">
        <v>167</v>
      </c>
      <c r="E299" s="1" t="s">
        <v>20</v>
      </c>
      <c r="F299" s="1" t="s">
        <v>167</v>
      </c>
      <c r="G299" s="140">
        <v>7.6000000000000003E-7</v>
      </c>
      <c r="H299"/>
    </row>
    <row r="300" spans="1:8" x14ac:dyDescent="0.2">
      <c r="A300" s="1" t="s">
        <v>261</v>
      </c>
      <c r="B300" s="1" t="s">
        <v>204</v>
      </c>
      <c r="C300" s="1" t="s">
        <v>10</v>
      </c>
      <c r="D300" s="1" t="s">
        <v>503</v>
      </c>
      <c r="E300" s="1" t="s">
        <v>20</v>
      </c>
      <c r="F300" s="1" t="s">
        <v>153</v>
      </c>
      <c r="G300" s="140">
        <v>8.2999999999999999E-7</v>
      </c>
      <c r="H300"/>
    </row>
    <row r="301" spans="1:8" x14ac:dyDescent="0.2">
      <c r="A301" s="1" t="s">
        <v>262</v>
      </c>
      <c r="B301" s="1" t="s">
        <v>204</v>
      </c>
      <c r="C301" s="1" t="s">
        <v>10</v>
      </c>
      <c r="D301" s="1" t="s">
        <v>195</v>
      </c>
      <c r="E301" s="1" t="s">
        <v>20</v>
      </c>
      <c r="F301" s="1" t="s">
        <v>648</v>
      </c>
      <c r="G301" s="140">
        <v>2.001E-5</v>
      </c>
      <c r="H301"/>
    </row>
    <row r="302" spans="1:8" x14ac:dyDescent="0.2">
      <c r="A302" s="1" t="s">
        <v>263</v>
      </c>
      <c r="B302" s="1" t="s">
        <v>204</v>
      </c>
      <c r="C302" s="1" t="s">
        <v>10</v>
      </c>
      <c r="D302" s="1" t="s">
        <v>504</v>
      </c>
      <c r="E302" s="1" t="s">
        <v>20</v>
      </c>
      <c r="F302" s="1" t="s">
        <v>110</v>
      </c>
      <c r="G302" s="140">
        <v>3.72E-6</v>
      </c>
      <c r="H302"/>
    </row>
    <row r="303" spans="1:8" x14ac:dyDescent="0.2">
      <c r="A303" s="1" t="s">
        <v>264</v>
      </c>
      <c r="B303" s="1" t="s">
        <v>204</v>
      </c>
      <c r="C303" s="1" t="s">
        <v>10</v>
      </c>
      <c r="D303" s="1" t="s">
        <v>100</v>
      </c>
      <c r="E303" s="1" t="s">
        <v>20</v>
      </c>
      <c r="F303" s="1" t="s">
        <v>99</v>
      </c>
      <c r="G303" s="140">
        <v>8.5010000000000001E-5</v>
      </c>
      <c r="H303"/>
    </row>
    <row r="304" spans="1:8" x14ac:dyDescent="0.2">
      <c r="A304" s="1" t="s">
        <v>265</v>
      </c>
      <c r="B304" s="1" t="s">
        <v>204</v>
      </c>
      <c r="C304" s="1" t="s">
        <v>10</v>
      </c>
      <c r="D304" s="1" t="s">
        <v>505</v>
      </c>
      <c r="E304" s="1" t="s">
        <v>20</v>
      </c>
      <c r="F304" s="1" t="s">
        <v>130</v>
      </c>
      <c r="G304" s="140">
        <v>2.1264999999999999E-4</v>
      </c>
      <c r="H304"/>
    </row>
    <row r="305" spans="1:8" x14ac:dyDescent="0.2">
      <c r="A305" s="1" t="s">
        <v>266</v>
      </c>
      <c r="B305" s="1" t="s">
        <v>204</v>
      </c>
      <c r="C305" s="1" t="s">
        <v>10</v>
      </c>
      <c r="D305" s="1" t="s">
        <v>7</v>
      </c>
      <c r="E305" s="1" t="s">
        <v>20</v>
      </c>
      <c r="F305" s="1" t="s">
        <v>684</v>
      </c>
      <c r="G305" s="140">
        <v>3.6300000000000001E-5</v>
      </c>
      <c r="H305"/>
    </row>
    <row r="306" spans="1:8" x14ac:dyDescent="0.2">
      <c r="A306" s="1" t="s">
        <v>267</v>
      </c>
      <c r="B306" s="1" t="s">
        <v>204</v>
      </c>
      <c r="C306" s="1" t="s">
        <v>10</v>
      </c>
      <c r="D306" s="1" t="s">
        <v>506</v>
      </c>
      <c r="E306" s="1" t="s">
        <v>20</v>
      </c>
      <c r="F306" s="1" t="s">
        <v>82</v>
      </c>
      <c r="G306" s="140">
        <v>4.0349E-4</v>
      </c>
      <c r="H306"/>
    </row>
    <row r="307" spans="1:8" x14ac:dyDescent="0.2">
      <c r="A307" s="1" t="s">
        <v>268</v>
      </c>
      <c r="B307" s="1" t="s">
        <v>204</v>
      </c>
      <c r="C307" s="1" t="s">
        <v>10</v>
      </c>
      <c r="D307" s="1" t="s">
        <v>507</v>
      </c>
      <c r="E307" s="1" t="s">
        <v>20</v>
      </c>
      <c r="F307" s="1" t="s">
        <v>67</v>
      </c>
      <c r="G307" s="140">
        <v>3.1170000000000001E-5</v>
      </c>
      <c r="H307"/>
    </row>
    <row r="308" spans="1:8" x14ac:dyDescent="0.2">
      <c r="A308" s="1" t="s">
        <v>269</v>
      </c>
      <c r="B308" s="1" t="s">
        <v>204</v>
      </c>
      <c r="C308" s="1" t="s">
        <v>10</v>
      </c>
      <c r="D308" s="1" t="s">
        <v>48</v>
      </c>
      <c r="E308" s="1" t="s">
        <v>20</v>
      </c>
      <c r="F308" s="1" t="s">
        <v>47</v>
      </c>
      <c r="G308" s="140">
        <v>2.8252000000000003E-4</v>
      </c>
      <c r="H308"/>
    </row>
    <row r="309" spans="1:8" x14ac:dyDescent="0.2">
      <c r="A309" s="1" t="s">
        <v>270</v>
      </c>
      <c r="B309" s="1" t="s">
        <v>204</v>
      </c>
      <c r="C309" s="1" t="s">
        <v>10</v>
      </c>
      <c r="D309" s="1" t="s">
        <v>508</v>
      </c>
      <c r="E309" s="1" t="s">
        <v>20</v>
      </c>
      <c r="F309" s="1" t="s">
        <v>685</v>
      </c>
      <c r="G309" s="140">
        <v>1.3836999999999999E-4</v>
      </c>
      <c r="H309"/>
    </row>
    <row r="310" spans="1:8" x14ac:dyDescent="0.2">
      <c r="A310" s="1" t="s">
        <v>271</v>
      </c>
      <c r="B310" s="1" t="s">
        <v>204</v>
      </c>
      <c r="C310" s="1" t="s">
        <v>10</v>
      </c>
      <c r="D310" s="1" t="s">
        <v>53</v>
      </c>
      <c r="E310" s="1" t="s">
        <v>20</v>
      </c>
      <c r="F310" s="1" t="s">
        <v>52</v>
      </c>
      <c r="G310" s="140">
        <v>2.6359999999999998E-5</v>
      </c>
      <c r="H310"/>
    </row>
    <row r="311" spans="1:8" x14ac:dyDescent="0.2">
      <c r="A311" s="1" t="s">
        <v>272</v>
      </c>
      <c r="B311" s="1" t="s">
        <v>204</v>
      </c>
      <c r="C311" s="1" t="s">
        <v>10</v>
      </c>
      <c r="D311" s="1" t="s">
        <v>509</v>
      </c>
      <c r="E311" s="1" t="s">
        <v>20</v>
      </c>
      <c r="F311" s="1" t="s">
        <v>108</v>
      </c>
      <c r="G311" s="140">
        <v>5.1399999999999999E-6</v>
      </c>
      <c r="H311"/>
    </row>
    <row r="312" spans="1:8" x14ac:dyDescent="0.2">
      <c r="A312" s="1" t="s">
        <v>1165</v>
      </c>
      <c r="B312" s="1" t="s">
        <v>204</v>
      </c>
      <c r="C312" s="1" t="s">
        <v>10</v>
      </c>
      <c r="D312" s="1" t="s">
        <v>30</v>
      </c>
      <c r="E312" s="1" t="s">
        <v>20</v>
      </c>
      <c r="F312" s="1" t="s">
        <v>19</v>
      </c>
      <c r="G312" s="140">
        <v>0.10318004</v>
      </c>
      <c r="H312"/>
    </row>
    <row r="313" spans="1:8" x14ac:dyDescent="0.2">
      <c r="A313" s="1" t="s">
        <v>1151</v>
      </c>
      <c r="B313" s="1" t="s">
        <v>204</v>
      </c>
      <c r="C313" s="1" t="s">
        <v>10</v>
      </c>
      <c r="D313" s="1" t="s">
        <v>773</v>
      </c>
      <c r="E313" s="1" t="s">
        <v>20</v>
      </c>
      <c r="F313" s="1" t="s">
        <v>774</v>
      </c>
      <c r="G313" s="140">
        <v>5.2859999999999999E-5</v>
      </c>
      <c r="H313"/>
    </row>
    <row r="314" spans="1:8" x14ac:dyDescent="0.2">
      <c r="A314" s="1" t="s">
        <v>273</v>
      </c>
      <c r="B314" s="1" t="s">
        <v>204</v>
      </c>
      <c r="C314" s="1" t="s">
        <v>10</v>
      </c>
      <c r="D314" s="1" t="s">
        <v>510</v>
      </c>
      <c r="E314" s="1" t="s">
        <v>20</v>
      </c>
      <c r="F314" s="1" t="s">
        <v>686</v>
      </c>
      <c r="G314" s="140">
        <v>3.4270000000000002E-5</v>
      </c>
      <c r="H314"/>
    </row>
    <row r="315" spans="1:8" x14ac:dyDescent="0.2">
      <c r="A315" s="1" t="s">
        <v>274</v>
      </c>
      <c r="B315" s="1" t="s">
        <v>204</v>
      </c>
      <c r="C315" s="1" t="s">
        <v>10</v>
      </c>
      <c r="D315" s="1" t="s">
        <v>511</v>
      </c>
      <c r="E315" s="1" t="s">
        <v>20</v>
      </c>
      <c r="F315" s="1" t="s">
        <v>687</v>
      </c>
      <c r="G315" s="140">
        <v>9.7000000000000003E-7</v>
      </c>
      <c r="H315"/>
    </row>
    <row r="316" spans="1:8" x14ac:dyDescent="0.2">
      <c r="A316" s="1" t="s">
        <v>275</v>
      </c>
      <c r="B316" s="1" t="s">
        <v>204</v>
      </c>
      <c r="C316" s="1" t="s">
        <v>10</v>
      </c>
      <c r="D316" s="1" t="s">
        <v>512</v>
      </c>
      <c r="E316" s="1" t="s">
        <v>20</v>
      </c>
      <c r="F316" s="1" t="s">
        <v>152</v>
      </c>
      <c r="G316" s="140">
        <v>7.8560000000000007E-5</v>
      </c>
      <c r="H316"/>
    </row>
    <row r="317" spans="1:8" x14ac:dyDescent="0.2">
      <c r="A317" s="1" t="s">
        <v>276</v>
      </c>
      <c r="B317" s="1" t="s">
        <v>204</v>
      </c>
      <c r="C317" s="1" t="s">
        <v>10</v>
      </c>
      <c r="D317" s="1" t="s">
        <v>513</v>
      </c>
      <c r="E317" s="1" t="s">
        <v>20</v>
      </c>
      <c r="F317" s="1" t="s">
        <v>126</v>
      </c>
      <c r="G317" s="140">
        <v>2.8099999999999999E-5</v>
      </c>
      <c r="H317"/>
    </row>
    <row r="318" spans="1:8" x14ac:dyDescent="0.2">
      <c r="A318" s="1" t="s">
        <v>277</v>
      </c>
      <c r="B318" s="1" t="s">
        <v>204</v>
      </c>
      <c r="C318" s="1" t="s">
        <v>10</v>
      </c>
      <c r="D318" s="1" t="s">
        <v>514</v>
      </c>
      <c r="E318" s="1" t="s">
        <v>20</v>
      </c>
      <c r="F318" s="1" t="s">
        <v>688</v>
      </c>
      <c r="G318" s="140">
        <v>1.92964E-3</v>
      </c>
      <c r="H318"/>
    </row>
    <row r="319" spans="1:8" x14ac:dyDescent="0.2">
      <c r="A319" s="1" t="s">
        <v>278</v>
      </c>
      <c r="B319" s="1" t="s">
        <v>204</v>
      </c>
      <c r="C319" s="1" t="s">
        <v>10</v>
      </c>
      <c r="D319" s="1" t="s">
        <v>76</v>
      </c>
      <c r="E319" s="1" t="s">
        <v>20</v>
      </c>
      <c r="F319" s="1" t="s">
        <v>75</v>
      </c>
      <c r="G319" s="140">
        <v>3.1487000000000003E-4</v>
      </c>
      <c r="H319"/>
    </row>
    <row r="320" spans="1:8" x14ac:dyDescent="0.2">
      <c r="A320" s="1" t="s">
        <v>279</v>
      </c>
      <c r="B320" s="1" t="s">
        <v>204</v>
      </c>
      <c r="C320" s="1" t="s">
        <v>10</v>
      </c>
      <c r="D320" s="1" t="s">
        <v>515</v>
      </c>
      <c r="E320" s="1" t="s">
        <v>20</v>
      </c>
      <c r="F320" s="1" t="s">
        <v>169</v>
      </c>
      <c r="G320" s="140">
        <v>2.1880000000000001E-5</v>
      </c>
      <c r="H320"/>
    </row>
    <row r="321" spans="1:8" x14ac:dyDescent="0.2">
      <c r="A321" s="1" t="s">
        <v>280</v>
      </c>
      <c r="B321" s="1" t="s">
        <v>204</v>
      </c>
      <c r="C321" s="1" t="s">
        <v>10</v>
      </c>
      <c r="D321" s="1" t="s">
        <v>516</v>
      </c>
      <c r="E321" s="1" t="s">
        <v>20</v>
      </c>
      <c r="F321" s="1" t="s">
        <v>168</v>
      </c>
      <c r="G321" s="140">
        <v>8.9980000000000002E-5</v>
      </c>
      <c r="H321"/>
    </row>
    <row r="322" spans="1:8" x14ac:dyDescent="0.2">
      <c r="A322" s="1" t="s">
        <v>281</v>
      </c>
      <c r="B322" s="1" t="s">
        <v>204</v>
      </c>
      <c r="C322" s="1" t="s">
        <v>10</v>
      </c>
      <c r="D322" s="1" t="s">
        <v>147</v>
      </c>
      <c r="E322" s="1" t="s">
        <v>20</v>
      </c>
      <c r="F322" s="1" t="s">
        <v>146</v>
      </c>
      <c r="G322" s="140">
        <v>7.3040000000000005E-5</v>
      </c>
      <c r="H322"/>
    </row>
    <row r="323" spans="1:8" x14ac:dyDescent="0.2">
      <c r="A323" s="1" t="s">
        <v>282</v>
      </c>
      <c r="B323" s="1" t="s">
        <v>204</v>
      </c>
      <c r="C323" s="1" t="s">
        <v>10</v>
      </c>
      <c r="D323" s="1" t="s">
        <v>228</v>
      </c>
      <c r="E323" s="1" t="s">
        <v>20</v>
      </c>
      <c r="F323" s="1" t="s">
        <v>229</v>
      </c>
      <c r="G323" s="140">
        <v>6.2802200000000004E-3</v>
      </c>
      <c r="H323"/>
    </row>
    <row r="324" spans="1:8" x14ac:dyDescent="0.2">
      <c r="A324" s="1" t="s">
        <v>283</v>
      </c>
      <c r="B324" s="1" t="s">
        <v>204</v>
      </c>
      <c r="C324" s="1" t="s">
        <v>10</v>
      </c>
      <c r="D324" s="1" t="s">
        <v>517</v>
      </c>
      <c r="E324" s="1" t="s">
        <v>20</v>
      </c>
      <c r="F324" s="1" t="s">
        <v>639</v>
      </c>
      <c r="G324" s="140">
        <v>2.0099999999999998E-6</v>
      </c>
      <c r="H324"/>
    </row>
    <row r="325" spans="1:8" x14ac:dyDescent="0.2">
      <c r="A325" s="1" t="s">
        <v>284</v>
      </c>
      <c r="B325" s="1" t="s">
        <v>204</v>
      </c>
      <c r="C325" s="1" t="s">
        <v>10</v>
      </c>
      <c r="D325" s="1" t="s">
        <v>518</v>
      </c>
      <c r="E325" s="1" t="s">
        <v>20</v>
      </c>
      <c r="F325" s="1" t="s">
        <v>179</v>
      </c>
      <c r="G325" s="140">
        <v>5.1449999999999997E-5</v>
      </c>
      <c r="H325"/>
    </row>
    <row r="326" spans="1:8" x14ac:dyDescent="0.2">
      <c r="A326" s="1" t="s">
        <v>285</v>
      </c>
      <c r="B326" s="1" t="s">
        <v>204</v>
      </c>
      <c r="C326" s="1" t="s">
        <v>10</v>
      </c>
      <c r="D326" s="1" t="s">
        <v>519</v>
      </c>
      <c r="E326" s="1" t="s">
        <v>20</v>
      </c>
      <c r="F326" s="1" t="s">
        <v>173</v>
      </c>
      <c r="G326" s="140">
        <v>4.6999999999999999E-6</v>
      </c>
      <c r="H326"/>
    </row>
    <row r="327" spans="1:8" x14ac:dyDescent="0.2">
      <c r="A327" s="1" t="s">
        <v>286</v>
      </c>
      <c r="B327" s="1" t="s">
        <v>204</v>
      </c>
      <c r="C327" s="1" t="s">
        <v>10</v>
      </c>
      <c r="D327" s="1" t="s">
        <v>520</v>
      </c>
      <c r="E327" s="1" t="s">
        <v>20</v>
      </c>
      <c r="F327" s="1" t="s">
        <v>86</v>
      </c>
      <c r="G327" s="140">
        <v>7.3300000000000001E-6</v>
      </c>
      <c r="H327"/>
    </row>
    <row r="328" spans="1:8" x14ac:dyDescent="0.2">
      <c r="A328" s="1" t="s">
        <v>287</v>
      </c>
      <c r="B328" s="1" t="s">
        <v>204</v>
      </c>
      <c r="C328" s="1" t="s">
        <v>10</v>
      </c>
      <c r="D328" s="1" t="s">
        <v>521</v>
      </c>
      <c r="E328" s="1" t="s">
        <v>20</v>
      </c>
      <c r="F328" s="1" t="s">
        <v>689</v>
      </c>
      <c r="G328" s="140">
        <v>4.3713999999999998E-4</v>
      </c>
      <c r="H328"/>
    </row>
    <row r="329" spans="1:8" x14ac:dyDescent="0.2">
      <c r="A329" s="1" t="s">
        <v>288</v>
      </c>
      <c r="B329" s="1" t="s">
        <v>204</v>
      </c>
      <c r="C329" s="1" t="s">
        <v>10</v>
      </c>
      <c r="D329" s="1" t="s">
        <v>522</v>
      </c>
      <c r="E329" s="1" t="s">
        <v>20</v>
      </c>
      <c r="F329" s="1" t="s">
        <v>98</v>
      </c>
      <c r="G329" s="140">
        <v>6.8234000000000003E-4</v>
      </c>
      <c r="H329"/>
    </row>
    <row r="330" spans="1:8" x14ac:dyDescent="0.2">
      <c r="A330" s="1" t="s">
        <v>289</v>
      </c>
      <c r="B330" s="1" t="s">
        <v>204</v>
      </c>
      <c r="C330" s="1" t="s">
        <v>10</v>
      </c>
      <c r="D330" s="1" t="s">
        <v>523</v>
      </c>
      <c r="E330" s="1" t="s">
        <v>20</v>
      </c>
      <c r="F330" s="1" t="s">
        <v>186</v>
      </c>
      <c r="G330" s="140">
        <v>5.1870000000000003E-5</v>
      </c>
      <c r="H330"/>
    </row>
    <row r="331" spans="1:8" x14ac:dyDescent="0.2">
      <c r="A331" s="1" t="s">
        <v>290</v>
      </c>
      <c r="B331" s="1" t="s">
        <v>204</v>
      </c>
      <c r="C331" s="1" t="s">
        <v>10</v>
      </c>
      <c r="D331" s="1" t="s">
        <v>524</v>
      </c>
      <c r="E331" s="1" t="s">
        <v>20</v>
      </c>
      <c r="F331" s="1" t="s">
        <v>150</v>
      </c>
      <c r="G331" s="140">
        <v>7.9999999999999996E-7</v>
      </c>
      <c r="H331"/>
    </row>
    <row r="332" spans="1:8" x14ac:dyDescent="0.2">
      <c r="A332" s="1" t="s">
        <v>291</v>
      </c>
      <c r="B332" s="1" t="s">
        <v>204</v>
      </c>
      <c r="C332" s="1" t="s">
        <v>10</v>
      </c>
      <c r="D332" s="1" t="s">
        <v>525</v>
      </c>
      <c r="E332" s="1" t="s">
        <v>20</v>
      </c>
      <c r="F332" s="1" t="s">
        <v>690</v>
      </c>
      <c r="G332" s="140">
        <v>1.9919999999999999E-5</v>
      </c>
      <c r="H332"/>
    </row>
    <row r="333" spans="1:8" x14ac:dyDescent="0.2">
      <c r="A333" s="1" t="s">
        <v>292</v>
      </c>
      <c r="B333" s="1" t="s">
        <v>204</v>
      </c>
      <c r="C333" s="1" t="s">
        <v>10</v>
      </c>
      <c r="D333" s="1" t="s">
        <v>526</v>
      </c>
      <c r="E333" s="1" t="s">
        <v>20</v>
      </c>
      <c r="F333" s="1" t="s">
        <v>109</v>
      </c>
      <c r="G333" s="140">
        <v>1.716E-4</v>
      </c>
      <c r="H333"/>
    </row>
    <row r="334" spans="1:8" x14ac:dyDescent="0.2">
      <c r="A334" s="1" t="s">
        <v>293</v>
      </c>
      <c r="B334" s="1" t="s">
        <v>204</v>
      </c>
      <c r="C334" s="1" t="s">
        <v>10</v>
      </c>
      <c r="D334" s="1" t="s">
        <v>527</v>
      </c>
      <c r="E334" s="1" t="s">
        <v>20</v>
      </c>
      <c r="F334" s="1" t="s">
        <v>691</v>
      </c>
      <c r="G334" s="140">
        <v>3.2480000000000001E-5</v>
      </c>
      <c r="H334"/>
    </row>
    <row r="335" spans="1:8" x14ac:dyDescent="0.2">
      <c r="A335" s="1" t="s">
        <v>294</v>
      </c>
      <c r="B335" s="1" t="s">
        <v>204</v>
      </c>
      <c r="C335" s="1" t="s">
        <v>10</v>
      </c>
      <c r="D335" s="1" t="s">
        <v>528</v>
      </c>
      <c r="E335" s="1" t="s">
        <v>20</v>
      </c>
      <c r="F335" s="1" t="s">
        <v>65</v>
      </c>
      <c r="G335" s="140">
        <v>3.0340000000000001E-5</v>
      </c>
      <c r="H335"/>
    </row>
    <row r="336" spans="1:8" x14ac:dyDescent="0.2">
      <c r="A336" s="1" t="s">
        <v>295</v>
      </c>
      <c r="B336" s="1" t="s">
        <v>204</v>
      </c>
      <c r="C336" s="1" t="s">
        <v>10</v>
      </c>
      <c r="D336" s="1" t="s">
        <v>11</v>
      </c>
      <c r="E336" s="1" t="s">
        <v>20</v>
      </c>
      <c r="F336" s="1" t="s">
        <v>21</v>
      </c>
      <c r="G336" s="140">
        <v>4.6612809999999998E-2</v>
      </c>
      <c r="H336"/>
    </row>
    <row r="337" spans="1:8" x14ac:dyDescent="0.2">
      <c r="A337" s="1" t="s">
        <v>296</v>
      </c>
      <c r="B337" s="1" t="s">
        <v>204</v>
      </c>
      <c r="C337" s="1" t="s">
        <v>10</v>
      </c>
      <c r="D337" s="1" t="s">
        <v>529</v>
      </c>
      <c r="E337" s="1" t="s">
        <v>20</v>
      </c>
      <c r="F337" s="1" t="s">
        <v>57</v>
      </c>
      <c r="G337" s="140">
        <v>5.7200100000000002E-3</v>
      </c>
      <c r="H337"/>
    </row>
    <row r="338" spans="1:8" x14ac:dyDescent="0.2">
      <c r="A338" s="1" t="s">
        <v>297</v>
      </c>
      <c r="B338" s="1" t="s">
        <v>204</v>
      </c>
      <c r="C338" s="1" t="s">
        <v>10</v>
      </c>
      <c r="D338" s="1" t="s">
        <v>530</v>
      </c>
      <c r="E338" s="1" t="s">
        <v>20</v>
      </c>
      <c r="F338" s="1" t="s">
        <v>105</v>
      </c>
      <c r="G338" s="140">
        <v>4.9990000000000001E-5</v>
      </c>
      <c r="H338"/>
    </row>
    <row r="339" spans="1:8" x14ac:dyDescent="0.2">
      <c r="A339" s="1" t="s">
        <v>298</v>
      </c>
      <c r="B339" s="1" t="s">
        <v>204</v>
      </c>
      <c r="C339" s="1" t="s">
        <v>10</v>
      </c>
      <c r="D339" s="1" t="s">
        <v>531</v>
      </c>
      <c r="E339" s="1" t="s">
        <v>20</v>
      </c>
      <c r="F339" s="1" t="s">
        <v>640</v>
      </c>
      <c r="G339" s="140">
        <v>2.5100000000000001E-6</v>
      </c>
      <c r="H339"/>
    </row>
    <row r="340" spans="1:8" x14ac:dyDescent="0.2">
      <c r="A340" s="1" t="s">
        <v>299</v>
      </c>
      <c r="B340" s="1" t="s">
        <v>204</v>
      </c>
      <c r="C340" s="1" t="s">
        <v>10</v>
      </c>
      <c r="D340" s="1" t="s">
        <v>532</v>
      </c>
      <c r="E340" s="1" t="s">
        <v>20</v>
      </c>
      <c r="F340" s="1" t="s">
        <v>113</v>
      </c>
      <c r="G340" s="140">
        <v>8.1165999999999996E-4</v>
      </c>
      <c r="H340"/>
    </row>
    <row r="341" spans="1:8" x14ac:dyDescent="0.2">
      <c r="A341" s="1" t="s">
        <v>1230</v>
      </c>
      <c r="B341" s="1" t="s">
        <v>204</v>
      </c>
      <c r="C341" s="1" t="s">
        <v>10</v>
      </c>
      <c r="D341" s="1" t="s">
        <v>1231</v>
      </c>
      <c r="E341" s="1" t="s">
        <v>20</v>
      </c>
      <c r="F341" s="1" t="s">
        <v>1232</v>
      </c>
      <c r="G341" s="140">
        <v>8.2570000000000004E-5</v>
      </c>
      <c r="H341"/>
    </row>
    <row r="342" spans="1:8" x14ac:dyDescent="0.2">
      <c r="A342" s="1" t="s">
        <v>300</v>
      </c>
      <c r="B342" s="1" t="s">
        <v>204</v>
      </c>
      <c r="C342" s="1" t="s">
        <v>10</v>
      </c>
      <c r="D342" s="1" t="s">
        <v>112</v>
      </c>
      <c r="E342" s="1" t="s">
        <v>20</v>
      </c>
      <c r="F342" s="1" t="s">
        <v>111</v>
      </c>
      <c r="G342" s="140">
        <v>7.1199999999999996E-6</v>
      </c>
      <c r="H342"/>
    </row>
    <row r="343" spans="1:8" x14ac:dyDescent="0.2">
      <c r="A343" s="1" t="s">
        <v>301</v>
      </c>
      <c r="B343" s="1" t="s">
        <v>204</v>
      </c>
      <c r="C343" s="1" t="s">
        <v>10</v>
      </c>
      <c r="D343" s="1" t="s">
        <v>533</v>
      </c>
      <c r="E343" s="1" t="s">
        <v>20</v>
      </c>
      <c r="F343" s="1" t="s">
        <v>68</v>
      </c>
      <c r="G343" s="140">
        <v>3.9000000000000002E-7</v>
      </c>
      <c r="H343"/>
    </row>
    <row r="344" spans="1:8" x14ac:dyDescent="0.2">
      <c r="A344" s="1" t="s">
        <v>302</v>
      </c>
      <c r="B344" s="1" t="s">
        <v>204</v>
      </c>
      <c r="C344" s="1" t="s">
        <v>10</v>
      </c>
      <c r="D344" s="1" t="s">
        <v>534</v>
      </c>
      <c r="E344" s="1" t="s">
        <v>20</v>
      </c>
      <c r="F344" s="1" t="s">
        <v>163</v>
      </c>
      <c r="G344" s="140">
        <v>7.1400000000000002E-6</v>
      </c>
      <c r="H344"/>
    </row>
    <row r="345" spans="1:8" x14ac:dyDescent="0.2">
      <c r="A345" s="1" t="s">
        <v>303</v>
      </c>
      <c r="B345" s="1" t="s">
        <v>204</v>
      </c>
      <c r="C345" s="1" t="s">
        <v>10</v>
      </c>
      <c r="D345" s="1" t="s">
        <v>535</v>
      </c>
      <c r="E345" s="1" t="s">
        <v>20</v>
      </c>
      <c r="F345" s="1" t="s">
        <v>133</v>
      </c>
      <c r="G345" s="140">
        <v>6.5840000000000007E-5</v>
      </c>
      <c r="H345"/>
    </row>
    <row r="346" spans="1:8" x14ac:dyDescent="0.2">
      <c r="A346" s="1" t="s">
        <v>304</v>
      </c>
      <c r="B346" s="1" t="s">
        <v>204</v>
      </c>
      <c r="C346" s="1" t="s">
        <v>10</v>
      </c>
      <c r="D346" s="1" t="s">
        <v>536</v>
      </c>
      <c r="E346" s="1" t="s">
        <v>20</v>
      </c>
      <c r="F346" s="1" t="s">
        <v>164</v>
      </c>
      <c r="G346" s="140">
        <v>2.0153E-4</v>
      </c>
      <c r="H346"/>
    </row>
    <row r="347" spans="1:8" x14ac:dyDescent="0.2">
      <c r="A347" s="1" t="s">
        <v>305</v>
      </c>
      <c r="B347" s="1" t="s">
        <v>204</v>
      </c>
      <c r="C347" s="1" t="s">
        <v>10</v>
      </c>
      <c r="D347" s="1" t="s">
        <v>537</v>
      </c>
      <c r="E347" s="1" t="s">
        <v>20</v>
      </c>
      <c r="F347" s="1" t="s">
        <v>178</v>
      </c>
      <c r="G347" s="140">
        <v>1.482E-5</v>
      </c>
      <c r="H347"/>
    </row>
    <row r="348" spans="1:8" x14ac:dyDescent="0.2">
      <c r="A348" s="1" t="s">
        <v>306</v>
      </c>
      <c r="B348" s="1" t="s">
        <v>204</v>
      </c>
      <c r="C348" s="1" t="s">
        <v>10</v>
      </c>
      <c r="D348" s="1" t="s">
        <v>12</v>
      </c>
      <c r="E348" s="1" t="s">
        <v>20</v>
      </c>
      <c r="F348" s="1" t="s">
        <v>22</v>
      </c>
      <c r="G348" s="140">
        <v>7.6450000000000002E-5</v>
      </c>
      <c r="H348"/>
    </row>
    <row r="349" spans="1:8" x14ac:dyDescent="0.2">
      <c r="A349" s="1" t="s">
        <v>307</v>
      </c>
      <c r="B349" s="1" t="s">
        <v>204</v>
      </c>
      <c r="C349" s="1" t="s">
        <v>10</v>
      </c>
      <c r="D349" s="1" t="s">
        <v>538</v>
      </c>
      <c r="E349" s="1" t="s">
        <v>20</v>
      </c>
      <c r="F349" s="1" t="s">
        <v>692</v>
      </c>
      <c r="G349" s="140">
        <v>1.641E-5</v>
      </c>
      <c r="H349"/>
    </row>
    <row r="350" spans="1:8" x14ac:dyDescent="0.2">
      <c r="A350" s="1" t="s">
        <v>308</v>
      </c>
      <c r="B350" s="1" t="s">
        <v>204</v>
      </c>
      <c r="C350" s="1" t="s">
        <v>10</v>
      </c>
      <c r="D350" s="1" t="s">
        <v>539</v>
      </c>
      <c r="E350" s="1" t="s">
        <v>20</v>
      </c>
      <c r="F350" s="1" t="s">
        <v>171</v>
      </c>
      <c r="G350" s="140">
        <v>2.067E-5</v>
      </c>
      <c r="H350"/>
    </row>
    <row r="351" spans="1:8" x14ac:dyDescent="0.2">
      <c r="A351" s="1" t="s">
        <v>309</v>
      </c>
      <c r="B351" s="1" t="s">
        <v>204</v>
      </c>
      <c r="C351" s="1" t="s">
        <v>10</v>
      </c>
      <c r="D351" s="1" t="s">
        <v>540</v>
      </c>
      <c r="E351" s="1" t="s">
        <v>20</v>
      </c>
      <c r="F351" s="1" t="s">
        <v>693</v>
      </c>
      <c r="G351" s="140">
        <v>3.4853E-4</v>
      </c>
      <c r="H351"/>
    </row>
    <row r="352" spans="1:8" x14ac:dyDescent="0.2">
      <c r="A352" s="1" t="s">
        <v>310</v>
      </c>
      <c r="B352" s="1" t="s">
        <v>204</v>
      </c>
      <c r="C352" s="1" t="s">
        <v>10</v>
      </c>
      <c r="D352" s="1" t="s">
        <v>541</v>
      </c>
      <c r="E352" s="1" t="s">
        <v>20</v>
      </c>
      <c r="F352" s="1" t="s">
        <v>117</v>
      </c>
      <c r="G352" s="140">
        <v>2.1319999999999999E-5</v>
      </c>
      <c r="H352"/>
    </row>
    <row r="353" spans="1:8" x14ac:dyDescent="0.2">
      <c r="A353" s="1" t="s">
        <v>311</v>
      </c>
      <c r="B353" s="1" t="s">
        <v>204</v>
      </c>
      <c r="C353" s="1" t="s">
        <v>10</v>
      </c>
      <c r="D353" s="1" t="s">
        <v>232</v>
      </c>
      <c r="E353" s="1" t="s">
        <v>20</v>
      </c>
      <c r="F353" s="1" t="s">
        <v>233</v>
      </c>
      <c r="G353" s="140">
        <v>2.1118999999999999E-4</v>
      </c>
      <c r="H353"/>
    </row>
    <row r="354" spans="1:8" x14ac:dyDescent="0.2">
      <c r="A354" s="1" t="s">
        <v>312</v>
      </c>
      <c r="B354" s="1" t="s">
        <v>204</v>
      </c>
      <c r="C354" s="1" t="s">
        <v>10</v>
      </c>
      <c r="D354" s="1" t="s">
        <v>542</v>
      </c>
      <c r="E354" s="1" t="s">
        <v>20</v>
      </c>
      <c r="F354" s="1" t="s">
        <v>694</v>
      </c>
      <c r="G354" s="140">
        <v>1.118E-5</v>
      </c>
      <c r="H354"/>
    </row>
    <row r="355" spans="1:8" x14ac:dyDescent="0.2">
      <c r="A355" s="1" t="s">
        <v>313</v>
      </c>
      <c r="B355" s="1" t="s">
        <v>204</v>
      </c>
      <c r="C355" s="1" t="s">
        <v>10</v>
      </c>
      <c r="D355" s="1" t="s">
        <v>543</v>
      </c>
      <c r="E355" s="1" t="s">
        <v>20</v>
      </c>
      <c r="F355" s="1" t="s">
        <v>157</v>
      </c>
      <c r="G355" s="140">
        <v>4.1390000000000002E-5</v>
      </c>
      <c r="H355"/>
    </row>
    <row r="356" spans="1:8" x14ac:dyDescent="0.2">
      <c r="A356" s="1" t="s">
        <v>314</v>
      </c>
      <c r="B356" s="1" t="s">
        <v>204</v>
      </c>
      <c r="C356" s="1" t="s">
        <v>10</v>
      </c>
      <c r="D356" s="1" t="s">
        <v>35</v>
      </c>
      <c r="E356" s="1" t="s">
        <v>20</v>
      </c>
      <c r="F356" s="1" t="s">
        <v>34</v>
      </c>
      <c r="G356" s="140">
        <v>2.1099999999999999E-3</v>
      </c>
      <c r="H356"/>
    </row>
    <row r="357" spans="1:8" x14ac:dyDescent="0.2">
      <c r="A357" s="1" t="s">
        <v>315</v>
      </c>
      <c r="B357" s="1" t="s">
        <v>204</v>
      </c>
      <c r="C357" s="1" t="s">
        <v>10</v>
      </c>
      <c r="D357" s="1" t="s">
        <v>9</v>
      </c>
      <c r="E357" s="1" t="s">
        <v>20</v>
      </c>
      <c r="F357" s="1" t="s">
        <v>29</v>
      </c>
      <c r="G357" s="140">
        <v>5.4965229999999997E-2</v>
      </c>
      <c r="H357"/>
    </row>
    <row r="358" spans="1:8" x14ac:dyDescent="0.2">
      <c r="A358" s="1" t="s">
        <v>316</v>
      </c>
      <c r="B358" s="1" t="s">
        <v>204</v>
      </c>
      <c r="C358" s="1" t="s">
        <v>10</v>
      </c>
      <c r="D358" s="1" t="s">
        <v>544</v>
      </c>
      <c r="E358" s="1" t="s">
        <v>20</v>
      </c>
      <c r="F358" s="1" t="s">
        <v>149</v>
      </c>
      <c r="G358" s="140">
        <v>1.1245E-4</v>
      </c>
      <c r="H358"/>
    </row>
    <row r="359" spans="1:8" x14ac:dyDescent="0.2">
      <c r="A359" s="1" t="s">
        <v>317</v>
      </c>
      <c r="B359" s="1" t="s">
        <v>204</v>
      </c>
      <c r="C359" s="1" t="s">
        <v>10</v>
      </c>
      <c r="D359" s="1" t="s">
        <v>545</v>
      </c>
      <c r="E359" s="1" t="s">
        <v>20</v>
      </c>
      <c r="F359" s="1" t="s">
        <v>119</v>
      </c>
      <c r="G359" s="140">
        <v>1.9903999999999999E-4</v>
      </c>
      <c r="H359"/>
    </row>
    <row r="360" spans="1:8" x14ac:dyDescent="0.2">
      <c r="A360" s="1" t="s">
        <v>318</v>
      </c>
      <c r="B360" s="1" t="s">
        <v>204</v>
      </c>
      <c r="C360" s="1" t="s">
        <v>10</v>
      </c>
      <c r="D360" s="1" t="s">
        <v>546</v>
      </c>
      <c r="E360" s="1" t="s">
        <v>20</v>
      </c>
      <c r="F360" s="1" t="s">
        <v>92</v>
      </c>
      <c r="G360" s="140">
        <v>3.6430000000000002E-5</v>
      </c>
      <c r="H360"/>
    </row>
    <row r="361" spans="1:8" x14ac:dyDescent="0.2">
      <c r="A361" s="1" t="s">
        <v>319</v>
      </c>
      <c r="B361" s="1" t="s">
        <v>204</v>
      </c>
      <c r="C361" s="1" t="s">
        <v>10</v>
      </c>
      <c r="D361" s="1" t="s">
        <v>547</v>
      </c>
      <c r="E361" s="1" t="s">
        <v>20</v>
      </c>
      <c r="F361" s="1" t="s">
        <v>63</v>
      </c>
      <c r="G361" s="140">
        <v>2.6930000000000001E-3</v>
      </c>
      <c r="H361"/>
    </row>
    <row r="362" spans="1:8" x14ac:dyDescent="0.2">
      <c r="A362" s="1" t="s">
        <v>320</v>
      </c>
      <c r="B362" s="1" t="s">
        <v>204</v>
      </c>
      <c r="C362" s="1" t="s">
        <v>10</v>
      </c>
      <c r="D362" s="1" t="s">
        <v>548</v>
      </c>
      <c r="E362" s="1" t="s">
        <v>20</v>
      </c>
      <c r="F362" s="1" t="s">
        <v>155</v>
      </c>
      <c r="G362" s="140">
        <v>1.57E-6</v>
      </c>
      <c r="H362"/>
    </row>
    <row r="363" spans="1:8" x14ac:dyDescent="0.2">
      <c r="A363" s="1" t="s">
        <v>321</v>
      </c>
      <c r="B363" s="1" t="s">
        <v>204</v>
      </c>
      <c r="C363" s="1" t="s">
        <v>10</v>
      </c>
      <c r="D363" s="1" t="s">
        <v>549</v>
      </c>
      <c r="E363" s="1" t="s">
        <v>20</v>
      </c>
      <c r="F363" s="1" t="s">
        <v>695</v>
      </c>
      <c r="G363" s="140">
        <v>9.1800000000000002E-6</v>
      </c>
      <c r="H363"/>
    </row>
    <row r="364" spans="1:8" x14ac:dyDescent="0.2">
      <c r="A364" s="1" t="s">
        <v>322</v>
      </c>
      <c r="B364" s="1" t="s">
        <v>204</v>
      </c>
      <c r="C364" s="1" t="s">
        <v>10</v>
      </c>
      <c r="D364" s="1" t="s">
        <v>550</v>
      </c>
      <c r="E364" s="1" t="s">
        <v>20</v>
      </c>
      <c r="F364" s="1" t="s">
        <v>143</v>
      </c>
      <c r="G364" s="140">
        <v>2.8580000000000001E-5</v>
      </c>
      <c r="H364"/>
    </row>
    <row r="365" spans="1:8" x14ac:dyDescent="0.2">
      <c r="A365" s="1" t="s">
        <v>323</v>
      </c>
      <c r="B365" s="1" t="s">
        <v>204</v>
      </c>
      <c r="C365" s="1" t="s">
        <v>10</v>
      </c>
      <c r="D365" s="1" t="s">
        <v>551</v>
      </c>
      <c r="E365" s="1" t="s">
        <v>20</v>
      </c>
      <c r="F365" s="1" t="s">
        <v>129</v>
      </c>
      <c r="G365" s="140">
        <v>8.7268999999999997E-4</v>
      </c>
      <c r="H365"/>
    </row>
    <row r="366" spans="1:8" x14ac:dyDescent="0.2">
      <c r="A366" s="1" t="s">
        <v>324</v>
      </c>
      <c r="B366" s="1" t="s">
        <v>204</v>
      </c>
      <c r="C366" s="1" t="s">
        <v>10</v>
      </c>
      <c r="D366" s="1" t="s">
        <v>552</v>
      </c>
      <c r="E366" s="1" t="s">
        <v>20</v>
      </c>
      <c r="F366" s="1" t="s">
        <v>66</v>
      </c>
      <c r="G366" s="140">
        <v>1.5296E-4</v>
      </c>
      <c r="H366"/>
    </row>
    <row r="367" spans="1:8" x14ac:dyDescent="0.2">
      <c r="A367" s="1" t="s">
        <v>325</v>
      </c>
      <c r="B367" s="1" t="s">
        <v>204</v>
      </c>
      <c r="C367" s="1" t="s">
        <v>10</v>
      </c>
      <c r="D367" s="1" t="s">
        <v>184</v>
      </c>
      <c r="E367" s="1" t="s">
        <v>20</v>
      </c>
      <c r="F367" s="1" t="s">
        <v>696</v>
      </c>
      <c r="G367" s="140">
        <v>6.28E-6</v>
      </c>
      <c r="H367"/>
    </row>
    <row r="368" spans="1:8" x14ac:dyDescent="0.2">
      <c r="A368" s="1" t="s">
        <v>326</v>
      </c>
      <c r="B368" s="1" t="s">
        <v>204</v>
      </c>
      <c r="C368" s="1" t="s">
        <v>10</v>
      </c>
      <c r="D368" s="1" t="s">
        <v>553</v>
      </c>
      <c r="E368" s="1" t="s">
        <v>20</v>
      </c>
      <c r="F368" s="1" t="s">
        <v>697</v>
      </c>
      <c r="G368" s="140">
        <v>2.2479789999999999E-2</v>
      </c>
      <c r="H368"/>
    </row>
    <row r="369" spans="1:8" x14ac:dyDescent="0.2">
      <c r="A369" s="1" t="s">
        <v>327</v>
      </c>
      <c r="B369" s="1" t="s">
        <v>204</v>
      </c>
      <c r="C369" s="1" t="s">
        <v>10</v>
      </c>
      <c r="D369" s="1" t="s">
        <v>554</v>
      </c>
      <c r="E369" s="1" t="s">
        <v>20</v>
      </c>
      <c r="F369" s="1" t="s">
        <v>165</v>
      </c>
      <c r="G369" s="140">
        <v>2.2006E-4</v>
      </c>
      <c r="H369"/>
    </row>
    <row r="370" spans="1:8" x14ac:dyDescent="0.2">
      <c r="A370" s="1" t="s">
        <v>328</v>
      </c>
      <c r="B370" s="1" t="s">
        <v>204</v>
      </c>
      <c r="C370" s="1" t="s">
        <v>10</v>
      </c>
      <c r="D370" s="1" t="s">
        <v>555</v>
      </c>
      <c r="E370" s="1" t="s">
        <v>20</v>
      </c>
      <c r="F370" s="1" t="s">
        <v>156</v>
      </c>
      <c r="G370" s="140">
        <v>9.8600000000000005E-6</v>
      </c>
      <c r="H370"/>
    </row>
    <row r="371" spans="1:8" x14ac:dyDescent="0.2">
      <c r="A371" s="1" t="s">
        <v>329</v>
      </c>
      <c r="B371" s="1" t="s">
        <v>204</v>
      </c>
      <c r="C371" s="1" t="s">
        <v>10</v>
      </c>
      <c r="D371" s="1" t="s">
        <v>556</v>
      </c>
      <c r="E371" s="1" t="s">
        <v>20</v>
      </c>
      <c r="F371" s="1" t="s">
        <v>70</v>
      </c>
      <c r="G371" s="140">
        <v>7.9900000000000006E-3</v>
      </c>
      <c r="H371"/>
    </row>
    <row r="372" spans="1:8" x14ac:dyDescent="0.2">
      <c r="A372" s="1" t="s">
        <v>330</v>
      </c>
      <c r="B372" s="1" t="s">
        <v>204</v>
      </c>
      <c r="C372" s="1" t="s">
        <v>10</v>
      </c>
      <c r="D372" s="1" t="s">
        <v>557</v>
      </c>
      <c r="E372" s="1" t="s">
        <v>20</v>
      </c>
      <c r="F372" s="1" t="s">
        <v>51</v>
      </c>
      <c r="G372" s="140">
        <v>2.9989999999999999E-5</v>
      </c>
      <c r="H372"/>
    </row>
    <row r="373" spans="1:8" x14ac:dyDescent="0.2">
      <c r="A373" s="1" t="s">
        <v>331</v>
      </c>
      <c r="B373" s="1" t="s">
        <v>204</v>
      </c>
      <c r="C373" s="1" t="s">
        <v>10</v>
      </c>
      <c r="D373" s="1" t="s">
        <v>558</v>
      </c>
      <c r="E373" s="1" t="s">
        <v>20</v>
      </c>
      <c r="F373" s="1" t="s">
        <v>132</v>
      </c>
      <c r="G373" s="140">
        <v>7.43E-6</v>
      </c>
      <c r="H373"/>
    </row>
    <row r="374" spans="1:8" x14ac:dyDescent="0.2">
      <c r="A374" s="1" t="s">
        <v>332</v>
      </c>
      <c r="B374" s="1" t="s">
        <v>204</v>
      </c>
      <c r="C374" s="1" t="s">
        <v>10</v>
      </c>
      <c r="D374" s="1" t="s">
        <v>559</v>
      </c>
      <c r="E374" s="1" t="s">
        <v>20</v>
      </c>
      <c r="F374" s="1" t="s">
        <v>131</v>
      </c>
      <c r="G374" s="140">
        <v>4.8500000000000002E-6</v>
      </c>
      <c r="H374"/>
    </row>
    <row r="375" spans="1:8" x14ac:dyDescent="0.2">
      <c r="A375" s="1" t="s">
        <v>333</v>
      </c>
      <c r="B375" s="1" t="s">
        <v>204</v>
      </c>
      <c r="C375" s="1" t="s">
        <v>10</v>
      </c>
      <c r="D375" s="1" t="s">
        <v>135</v>
      </c>
      <c r="E375" s="1" t="s">
        <v>20</v>
      </c>
      <c r="F375" s="1" t="s">
        <v>134</v>
      </c>
      <c r="G375" s="140">
        <v>4.0639999999999997E-5</v>
      </c>
      <c r="H375"/>
    </row>
    <row r="376" spans="1:8" x14ac:dyDescent="0.2">
      <c r="A376" s="1" t="s">
        <v>334</v>
      </c>
      <c r="B376" s="1" t="s">
        <v>204</v>
      </c>
      <c r="C376" s="1" t="s">
        <v>10</v>
      </c>
      <c r="D376" s="1" t="s">
        <v>560</v>
      </c>
      <c r="E376" s="1" t="s">
        <v>20</v>
      </c>
      <c r="F376" s="1" t="s">
        <v>698</v>
      </c>
      <c r="G376" s="140">
        <v>2.281E-5</v>
      </c>
      <c r="H376"/>
    </row>
    <row r="377" spans="1:8" x14ac:dyDescent="0.2">
      <c r="A377" s="1" t="s">
        <v>335</v>
      </c>
      <c r="B377" s="1" t="s">
        <v>204</v>
      </c>
      <c r="C377" s="1" t="s">
        <v>10</v>
      </c>
      <c r="D377" s="1" t="s">
        <v>561</v>
      </c>
      <c r="E377" s="1" t="s">
        <v>20</v>
      </c>
      <c r="F377" s="1" t="s">
        <v>114</v>
      </c>
      <c r="G377" s="140">
        <v>1.5849999999999999E-5</v>
      </c>
      <c r="H377"/>
    </row>
    <row r="378" spans="1:8" x14ac:dyDescent="0.2">
      <c r="A378" s="1" t="s">
        <v>754</v>
      </c>
      <c r="B378" s="1" t="s">
        <v>204</v>
      </c>
      <c r="C378" s="1" t="s">
        <v>10</v>
      </c>
      <c r="D378" s="1" t="s">
        <v>755</v>
      </c>
      <c r="E378" s="1" t="s">
        <v>20</v>
      </c>
      <c r="F378" s="1" t="s">
        <v>756</v>
      </c>
      <c r="G378" s="140">
        <v>1.028E-5</v>
      </c>
      <c r="H378"/>
    </row>
    <row r="379" spans="1:8" x14ac:dyDescent="0.2">
      <c r="A379" s="1" t="s">
        <v>336</v>
      </c>
      <c r="B379" s="1" t="s">
        <v>204</v>
      </c>
      <c r="C379" s="1" t="s">
        <v>10</v>
      </c>
      <c r="D379" s="1" t="s">
        <v>562</v>
      </c>
      <c r="E379" s="1" t="s">
        <v>20</v>
      </c>
      <c r="F379" s="1" t="s">
        <v>138</v>
      </c>
      <c r="G379" s="140">
        <v>3.502E-5</v>
      </c>
      <c r="H379"/>
    </row>
    <row r="380" spans="1:8" x14ac:dyDescent="0.2">
      <c r="A380" s="1" t="s">
        <v>337</v>
      </c>
      <c r="B380" s="1" t="s">
        <v>204</v>
      </c>
      <c r="C380" s="1" t="s">
        <v>10</v>
      </c>
      <c r="D380" s="1" t="s">
        <v>563</v>
      </c>
      <c r="E380" s="1" t="s">
        <v>20</v>
      </c>
      <c r="F380" s="1" t="s">
        <v>699</v>
      </c>
      <c r="G380" s="140">
        <v>1.3501E-4</v>
      </c>
      <c r="H380"/>
    </row>
    <row r="381" spans="1:8" x14ac:dyDescent="0.2">
      <c r="A381" s="1" t="s">
        <v>338</v>
      </c>
      <c r="B381" s="1" t="s">
        <v>204</v>
      </c>
      <c r="C381" s="1" t="s">
        <v>10</v>
      </c>
      <c r="D381" s="1" t="s">
        <v>564</v>
      </c>
      <c r="E381" s="1" t="s">
        <v>20</v>
      </c>
      <c r="F381" s="1" t="s">
        <v>564</v>
      </c>
      <c r="G381" s="140">
        <v>2.8511999999999998E-4</v>
      </c>
      <c r="H381"/>
    </row>
    <row r="382" spans="1:8" x14ac:dyDescent="0.2">
      <c r="A382" s="1" t="s">
        <v>339</v>
      </c>
      <c r="B382" s="1" t="s">
        <v>204</v>
      </c>
      <c r="C382" s="1" t="s">
        <v>10</v>
      </c>
      <c r="D382" s="1" t="s">
        <v>565</v>
      </c>
      <c r="E382" s="1" t="s">
        <v>20</v>
      </c>
      <c r="F382" s="1" t="s">
        <v>700</v>
      </c>
      <c r="G382" s="140">
        <v>1.9799999999999999E-4</v>
      </c>
      <c r="H382"/>
    </row>
    <row r="383" spans="1:8" x14ac:dyDescent="0.2">
      <c r="A383" s="1" t="s">
        <v>340</v>
      </c>
      <c r="B383" s="1" t="s">
        <v>204</v>
      </c>
      <c r="C383" s="1" t="s">
        <v>10</v>
      </c>
      <c r="D383" s="1" t="s">
        <v>60</v>
      </c>
      <c r="E383" s="1" t="s">
        <v>20</v>
      </c>
      <c r="F383" s="1" t="s">
        <v>59</v>
      </c>
      <c r="G383" s="140">
        <v>3.3980000000000002E-4</v>
      </c>
      <c r="H383"/>
    </row>
    <row r="384" spans="1:8" x14ac:dyDescent="0.2">
      <c r="A384" s="1" t="s">
        <v>341</v>
      </c>
      <c r="B384" s="1" t="s">
        <v>204</v>
      </c>
      <c r="C384" s="1" t="s">
        <v>10</v>
      </c>
      <c r="D384" s="1" t="s">
        <v>566</v>
      </c>
      <c r="E384" s="1" t="s">
        <v>20</v>
      </c>
      <c r="F384" s="1" t="s">
        <v>200</v>
      </c>
      <c r="G384" s="140">
        <v>2.8853E-4</v>
      </c>
      <c r="H384"/>
    </row>
    <row r="385" spans="1:8" x14ac:dyDescent="0.2">
      <c r="A385" s="1" t="s">
        <v>342</v>
      </c>
      <c r="B385" s="1" t="s">
        <v>204</v>
      </c>
      <c r="C385" s="1" t="s">
        <v>10</v>
      </c>
      <c r="D385" s="1" t="s">
        <v>567</v>
      </c>
      <c r="E385" s="1" t="s">
        <v>20</v>
      </c>
      <c r="F385" s="1" t="s">
        <v>123</v>
      </c>
      <c r="G385" s="140">
        <v>2.4239999999999998E-5</v>
      </c>
      <c r="H385"/>
    </row>
    <row r="386" spans="1:8" x14ac:dyDescent="0.2">
      <c r="A386" s="1" t="s">
        <v>343</v>
      </c>
      <c r="B386" s="1" t="s">
        <v>204</v>
      </c>
      <c r="C386" s="1" t="s">
        <v>10</v>
      </c>
      <c r="D386" s="1" t="s">
        <v>568</v>
      </c>
      <c r="E386" s="1" t="s">
        <v>20</v>
      </c>
      <c r="F386" s="1" t="s">
        <v>701</v>
      </c>
      <c r="G386" s="140">
        <v>5.2330000000000002E-5</v>
      </c>
      <c r="H386"/>
    </row>
    <row r="387" spans="1:8" x14ac:dyDescent="0.2">
      <c r="A387" s="1" t="s">
        <v>344</v>
      </c>
      <c r="B387" s="1" t="s">
        <v>204</v>
      </c>
      <c r="C387" s="1" t="s">
        <v>10</v>
      </c>
      <c r="D387" s="1" t="s">
        <v>569</v>
      </c>
      <c r="E387" s="1" t="s">
        <v>20</v>
      </c>
      <c r="F387" s="1" t="s">
        <v>702</v>
      </c>
      <c r="G387" s="140">
        <v>5.8200000000000002E-6</v>
      </c>
      <c r="H387"/>
    </row>
    <row r="388" spans="1:8" x14ac:dyDescent="0.2">
      <c r="A388" s="1" t="s">
        <v>1196</v>
      </c>
      <c r="B388" s="1" t="s">
        <v>204</v>
      </c>
      <c r="C388" s="1" t="s">
        <v>10</v>
      </c>
      <c r="D388" s="1" t="s">
        <v>934</v>
      </c>
      <c r="E388" s="1" t="s">
        <v>20</v>
      </c>
      <c r="F388" s="1" t="s">
        <v>935</v>
      </c>
      <c r="G388" s="140">
        <v>5.4190000000000001E-5</v>
      </c>
      <c r="H388"/>
    </row>
    <row r="389" spans="1:8" x14ac:dyDescent="0.2">
      <c r="A389" s="1" t="s">
        <v>345</v>
      </c>
      <c r="B389" s="1" t="s">
        <v>204</v>
      </c>
      <c r="C389" s="1" t="s">
        <v>10</v>
      </c>
      <c r="D389" s="1" t="s">
        <v>37</v>
      </c>
      <c r="E389" s="1" t="s">
        <v>20</v>
      </c>
      <c r="F389" s="1" t="s">
        <v>36</v>
      </c>
      <c r="G389" s="140">
        <v>1.0568400000000001E-3</v>
      </c>
      <c r="H389"/>
    </row>
    <row r="390" spans="1:8" x14ac:dyDescent="0.2">
      <c r="A390" s="1" t="s">
        <v>346</v>
      </c>
      <c r="B390" s="1" t="s">
        <v>204</v>
      </c>
      <c r="C390" s="1" t="s">
        <v>10</v>
      </c>
      <c r="D390" s="1" t="s">
        <v>13</v>
      </c>
      <c r="E390" s="1" t="s">
        <v>20</v>
      </c>
      <c r="F390" s="1" t="s">
        <v>23</v>
      </c>
      <c r="G390" s="140">
        <v>1.6340070000000002E-2</v>
      </c>
      <c r="H390"/>
    </row>
    <row r="391" spans="1:8" x14ac:dyDescent="0.2">
      <c r="A391" s="1" t="s">
        <v>347</v>
      </c>
      <c r="B391" s="1" t="s">
        <v>204</v>
      </c>
      <c r="C391" s="1" t="s">
        <v>10</v>
      </c>
      <c r="D391" s="1" t="s">
        <v>570</v>
      </c>
      <c r="E391" s="1" t="s">
        <v>20</v>
      </c>
      <c r="F391" s="1" t="s">
        <v>118</v>
      </c>
      <c r="G391" s="140">
        <v>1.077E-3</v>
      </c>
      <c r="H391"/>
    </row>
    <row r="392" spans="1:8" x14ac:dyDescent="0.2">
      <c r="A392" s="1" t="s">
        <v>348</v>
      </c>
      <c r="B392" s="1" t="s">
        <v>204</v>
      </c>
      <c r="C392" s="1" t="s">
        <v>10</v>
      </c>
      <c r="D392" s="1" t="s">
        <v>182</v>
      </c>
      <c r="E392" s="1" t="s">
        <v>20</v>
      </c>
      <c r="F392" s="1" t="s">
        <v>181</v>
      </c>
      <c r="G392" s="140">
        <v>9.6900000000000004E-6</v>
      </c>
      <c r="H392"/>
    </row>
    <row r="393" spans="1:8" x14ac:dyDescent="0.2">
      <c r="A393" s="1" t="s">
        <v>349</v>
      </c>
      <c r="B393" s="1" t="s">
        <v>204</v>
      </c>
      <c r="C393" s="1" t="s">
        <v>10</v>
      </c>
      <c r="D393" s="1" t="s">
        <v>6</v>
      </c>
      <c r="E393" s="1" t="s">
        <v>20</v>
      </c>
      <c r="F393" s="1" t="s">
        <v>77</v>
      </c>
      <c r="G393" s="140">
        <v>6.5875000000000005E-4</v>
      </c>
      <c r="H393"/>
    </row>
    <row r="394" spans="1:8" x14ac:dyDescent="0.2">
      <c r="A394" s="1" t="s">
        <v>350</v>
      </c>
      <c r="B394" s="1" t="s">
        <v>204</v>
      </c>
      <c r="C394" s="1" t="s">
        <v>10</v>
      </c>
      <c r="D394" s="1" t="s">
        <v>571</v>
      </c>
      <c r="E394" s="1" t="s">
        <v>20</v>
      </c>
      <c r="F394" s="1" t="s">
        <v>703</v>
      </c>
      <c r="G394" s="140">
        <v>2.499E-5</v>
      </c>
      <c r="H394"/>
    </row>
    <row r="395" spans="1:8" x14ac:dyDescent="0.2">
      <c r="A395" s="1" t="s">
        <v>351</v>
      </c>
      <c r="B395" s="1" t="s">
        <v>204</v>
      </c>
      <c r="C395" s="1" t="s">
        <v>10</v>
      </c>
      <c r="D395" s="1" t="s">
        <v>572</v>
      </c>
      <c r="E395" s="1" t="s">
        <v>20</v>
      </c>
      <c r="F395" s="1" t="s">
        <v>224</v>
      </c>
      <c r="G395" s="140">
        <v>2.0720000000000002E-5</v>
      </c>
      <c r="H395"/>
    </row>
    <row r="396" spans="1:8" x14ac:dyDescent="0.2">
      <c r="A396" s="1" t="s">
        <v>352</v>
      </c>
      <c r="B396" s="1" t="s">
        <v>204</v>
      </c>
      <c r="C396" s="1" t="s">
        <v>10</v>
      </c>
      <c r="D396" s="1" t="s">
        <v>573</v>
      </c>
      <c r="E396" s="1" t="s">
        <v>20</v>
      </c>
      <c r="F396" s="1" t="s">
        <v>93</v>
      </c>
      <c r="G396" s="140">
        <v>7.6674300000000003E-3</v>
      </c>
      <c r="H396"/>
    </row>
    <row r="397" spans="1:8" x14ac:dyDescent="0.2">
      <c r="A397" s="1" t="s">
        <v>353</v>
      </c>
      <c r="B397" s="1" t="s">
        <v>204</v>
      </c>
      <c r="C397" s="1" t="s">
        <v>10</v>
      </c>
      <c r="D397" s="1" t="s">
        <v>574</v>
      </c>
      <c r="E397" s="1" t="s">
        <v>20</v>
      </c>
      <c r="F397" s="1" t="s">
        <v>107</v>
      </c>
      <c r="G397" s="140">
        <v>4.3229999999999999E-4</v>
      </c>
      <c r="H397"/>
    </row>
    <row r="398" spans="1:8" x14ac:dyDescent="0.2">
      <c r="A398" s="1" t="s">
        <v>354</v>
      </c>
      <c r="B398" s="1" t="s">
        <v>204</v>
      </c>
      <c r="C398" s="1" t="s">
        <v>10</v>
      </c>
      <c r="D398" s="1" t="s">
        <v>575</v>
      </c>
      <c r="E398" s="1" t="s">
        <v>20</v>
      </c>
      <c r="F398" s="1" t="s">
        <v>115</v>
      </c>
      <c r="G398" s="140">
        <v>1.3159999999999999E-5</v>
      </c>
      <c r="H398"/>
    </row>
    <row r="399" spans="1:8" x14ac:dyDescent="0.2">
      <c r="A399" s="1" t="s">
        <v>355</v>
      </c>
      <c r="B399" s="1" t="s">
        <v>204</v>
      </c>
      <c r="C399" s="1" t="s">
        <v>10</v>
      </c>
      <c r="D399" s="1" t="s">
        <v>576</v>
      </c>
      <c r="E399" s="1" t="s">
        <v>20</v>
      </c>
      <c r="F399" s="1" t="s">
        <v>140</v>
      </c>
      <c r="G399" s="140">
        <v>1.57E-6</v>
      </c>
      <c r="H399"/>
    </row>
    <row r="400" spans="1:8" x14ac:dyDescent="0.2">
      <c r="A400" s="1" t="s">
        <v>356</v>
      </c>
      <c r="B400" s="1" t="s">
        <v>204</v>
      </c>
      <c r="C400" s="1" t="s">
        <v>10</v>
      </c>
      <c r="D400" s="1" t="s">
        <v>577</v>
      </c>
      <c r="E400" s="1" t="s">
        <v>20</v>
      </c>
      <c r="F400" s="1" t="s">
        <v>1174</v>
      </c>
      <c r="G400" s="140">
        <v>1.1953E-4</v>
      </c>
      <c r="H400"/>
    </row>
    <row r="401" spans="1:8" x14ac:dyDescent="0.2">
      <c r="A401" s="1" t="s">
        <v>357</v>
      </c>
      <c r="B401" s="1" t="s">
        <v>204</v>
      </c>
      <c r="C401" s="1" t="s">
        <v>10</v>
      </c>
      <c r="D401" s="1" t="s">
        <v>578</v>
      </c>
      <c r="E401" s="1" t="s">
        <v>20</v>
      </c>
      <c r="F401" s="1" t="s">
        <v>202</v>
      </c>
      <c r="G401" s="140">
        <v>5.2269999999999999E-5</v>
      </c>
      <c r="H401"/>
    </row>
    <row r="402" spans="1:8" x14ac:dyDescent="0.2">
      <c r="A402" s="1" t="s">
        <v>358</v>
      </c>
      <c r="B402" s="1" t="s">
        <v>204</v>
      </c>
      <c r="C402" s="1" t="s">
        <v>10</v>
      </c>
      <c r="D402" s="1" t="s">
        <v>14</v>
      </c>
      <c r="E402" s="1" t="s">
        <v>20</v>
      </c>
      <c r="F402" s="1" t="s">
        <v>14</v>
      </c>
      <c r="G402" s="140">
        <v>7.3385000000000004E-3</v>
      </c>
      <c r="H402"/>
    </row>
    <row r="403" spans="1:8" x14ac:dyDescent="0.2">
      <c r="A403" s="1" t="s">
        <v>359</v>
      </c>
      <c r="B403" s="1" t="s">
        <v>204</v>
      </c>
      <c r="C403" s="1" t="s">
        <v>10</v>
      </c>
      <c r="D403" s="1" t="s">
        <v>579</v>
      </c>
      <c r="E403" s="1" t="s">
        <v>20</v>
      </c>
      <c r="F403" s="1" t="s">
        <v>136</v>
      </c>
      <c r="G403" s="140">
        <v>2.7362000000000003E-4</v>
      </c>
      <c r="H403"/>
    </row>
    <row r="404" spans="1:8" x14ac:dyDescent="0.2">
      <c r="A404" s="1" t="s">
        <v>360</v>
      </c>
      <c r="B404" s="1" t="s">
        <v>204</v>
      </c>
      <c r="C404" s="1" t="s">
        <v>10</v>
      </c>
      <c r="D404" s="1" t="s">
        <v>580</v>
      </c>
      <c r="E404" s="1" t="s">
        <v>20</v>
      </c>
      <c r="F404" s="1" t="s">
        <v>90</v>
      </c>
      <c r="G404" s="140">
        <v>1.172E-5</v>
      </c>
      <c r="H404"/>
    </row>
    <row r="405" spans="1:8" x14ac:dyDescent="0.2">
      <c r="A405" s="1" t="s">
        <v>361</v>
      </c>
      <c r="B405" s="1" t="s">
        <v>204</v>
      </c>
      <c r="C405" s="1" t="s">
        <v>10</v>
      </c>
      <c r="D405" s="1" t="s">
        <v>581</v>
      </c>
      <c r="E405" s="1" t="s">
        <v>20</v>
      </c>
      <c r="F405" s="1" t="s">
        <v>116</v>
      </c>
      <c r="G405" s="140">
        <v>1.5454900000000001E-3</v>
      </c>
      <c r="H405"/>
    </row>
    <row r="406" spans="1:8" x14ac:dyDescent="0.2">
      <c r="A406" s="1" t="s">
        <v>362</v>
      </c>
      <c r="B406" s="1" t="s">
        <v>204</v>
      </c>
      <c r="C406" s="1" t="s">
        <v>10</v>
      </c>
      <c r="D406" s="1" t="s">
        <v>582</v>
      </c>
      <c r="E406" s="1" t="s">
        <v>20</v>
      </c>
      <c r="F406" s="1" t="s">
        <v>104</v>
      </c>
      <c r="G406" s="140">
        <v>1.562E-5</v>
      </c>
      <c r="H406"/>
    </row>
    <row r="407" spans="1:8" x14ac:dyDescent="0.2">
      <c r="A407" s="1" t="s">
        <v>363</v>
      </c>
      <c r="B407" s="1" t="s">
        <v>204</v>
      </c>
      <c r="C407" s="1" t="s">
        <v>10</v>
      </c>
      <c r="D407" s="1" t="s">
        <v>583</v>
      </c>
      <c r="E407" s="1" t="s">
        <v>20</v>
      </c>
      <c r="F407" s="1" t="s">
        <v>69</v>
      </c>
      <c r="G407" s="140">
        <v>1.8882E-4</v>
      </c>
      <c r="H407"/>
    </row>
    <row r="408" spans="1:8" x14ac:dyDescent="0.2">
      <c r="A408" s="1" t="s">
        <v>364</v>
      </c>
      <c r="B408" s="1" t="s">
        <v>204</v>
      </c>
      <c r="C408" s="1" t="s">
        <v>10</v>
      </c>
      <c r="D408" s="1" t="s">
        <v>81</v>
      </c>
      <c r="E408" s="1" t="s">
        <v>20</v>
      </c>
      <c r="F408" s="1" t="s">
        <v>704</v>
      </c>
      <c r="G408" s="140">
        <v>1.6189999999999999E-5</v>
      </c>
      <c r="H408"/>
    </row>
    <row r="409" spans="1:8" x14ac:dyDescent="0.2">
      <c r="A409" s="1" t="s">
        <v>365</v>
      </c>
      <c r="B409" s="1" t="s">
        <v>204</v>
      </c>
      <c r="C409" s="1" t="s">
        <v>10</v>
      </c>
      <c r="D409" s="1" t="s">
        <v>584</v>
      </c>
      <c r="E409" s="1" t="s">
        <v>20</v>
      </c>
      <c r="F409" s="1" t="s">
        <v>705</v>
      </c>
      <c r="G409" s="140">
        <v>1.4450000000000001E-5</v>
      </c>
      <c r="H409"/>
    </row>
    <row r="410" spans="1:8" x14ac:dyDescent="0.2">
      <c r="A410" s="1" t="s">
        <v>366</v>
      </c>
      <c r="B410" s="1" t="s">
        <v>204</v>
      </c>
      <c r="C410" s="1" t="s">
        <v>10</v>
      </c>
      <c r="D410" s="1" t="s">
        <v>15</v>
      </c>
      <c r="E410" s="1" t="s">
        <v>20</v>
      </c>
      <c r="F410" s="1" t="s">
        <v>24</v>
      </c>
      <c r="G410" s="140">
        <v>1.1813500000000001E-3</v>
      </c>
      <c r="H410"/>
    </row>
    <row r="411" spans="1:8" x14ac:dyDescent="0.2">
      <c r="A411" s="1" t="s">
        <v>367</v>
      </c>
      <c r="B411" s="1" t="s">
        <v>204</v>
      </c>
      <c r="C411" s="1" t="s">
        <v>10</v>
      </c>
      <c r="D411" s="1" t="s">
        <v>125</v>
      </c>
      <c r="E411" s="1" t="s">
        <v>20</v>
      </c>
      <c r="F411" s="1" t="s">
        <v>642</v>
      </c>
      <c r="G411" s="140">
        <v>3.05039E-3</v>
      </c>
      <c r="H411"/>
    </row>
    <row r="412" spans="1:8" x14ac:dyDescent="0.2">
      <c r="A412" s="1" t="s">
        <v>368</v>
      </c>
      <c r="B412" s="1" t="s">
        <v>204</v>
      </c>
      <c r="C412" s="1" t="s">
        <v>10</v>
      </c>
      <c r="D412" s="1" t="s">
        <v>585</v>
      </c>
      <c r="E412" s="1" t="s">
        <v>20</v>
      </c>
      <c r="F412" s="1" t="s">
        <v>84</v>
      </c>
      <c r="G412" s="140">
        <v>1.2721399999999999E-3</v>
      </c>
      <c r="H412"/>
    </row>
    <row r="413" spans="1:8" x14ac:dyDescent="0.2">
      <c r="A413" s="1" t="s">
        <v>369</v>
      </c>
      <c r="B413" s="1" t="s">
        <v>204</v>
      </c>
      <c r="C413" s="1" t="s">
        <v>10</v>
      </c>
      <c r="D413" s="1" t="s">
        <v>586</v>
      </c>
      <c r="E413" s="1" t="s">
        <v>20</v>
      </c>
      <c r="F413" s="1" t="s">
        <v>706</v>
      </c>
      <c r="G413" s="140">
        <v>1.2626E-4</v>
      </c>
      <c r="H413"/>
    </row>
    <row r="414" spans="1:8" x14ac:dyDescent="0.2">
      <c r="A414" s="1" t="s">
        <v>370</v>
      </c>
      <c r="B414" s="1" t="s">
        <v>204</v>
      </c>
      <c r="C414" s="1" t="s">
        <v>10</v>
      </c>
      <c r="D414" s="1" t="s">
        <v>587</v>
      </c>
      <c r="E414" s="1" t="s">
        <v>20</v>
      </c>
      <c r="F414" s="1" t="s">
        <v>141</v>
      </c>
      <c r="G414" s="140">
        <v>2.2000000000000001E-6</v>
      </c>
      <c r="H414"/>
    </row>
    <row r="415" spans="1:8" x14ac:dyDescent="0.2">
      <c r="A415" s="1" t="s">
        <v>371</v>
      </c>
      <c r="B415" s="1" t="s">
        <v>204</v>
      </c>
      <c r="C415" s="1" t="s">
        <v>10</v>
      </c>
      <c r="D415" s="1" t="s">
        <v>588</v>
      </c>
      <c r="E415" s="1" t="s">
        <v>20</v>
      </c>
      <c r="F415" s="1" t="s">
        <v>588</v>
      </c>
      <c r="G415" s="140">
        <v>4.9220999999999998E-4</v>
      </c>
      <c r="H415"/>
    </row>
    <row r="416" spans="1:8" x14ac:dyDescent="0.2">
      <c r="A416" s="1" t="s">
        <v>372</v>
      </c>
      <c r="B416" s="1" t="s">
        <v>204</v>
      </c>
      <c r="C416" s="1" t="s">
        <v>10</v>
      </c>
      <c r="D416" s="1" t="s">
        <v>589</v>
      </c>
      <c r="E416" s="1" t="s">
        <v>20</v>
      </c>
      <c r="F416" s="1" t="s">
        <v>177</v>
      </c>
      <c r="G416" s="140">
        <v>1.5E-5</v>
      </c>
      <c r="H416"/>
    </row>
    <row r="417" spans="1:8" x14ac:dyDescent="0.2">
      <c r="A417" s="1" t="s">
        <v>373</v>
      </c>
      <c r="B417" s="1" t="s">
        <v>204</v>
      </c>
      <c r="C417" s="1" t="s">
        <v>10</v>
      </c>
      <c r="D417" s="1" t="s">
        <v>590</v>
      </c>
      <c r="E417" s="1" t="s">
        <v>20</v>
      </c>
      <c r="F417" s="1" t="s">
        <v>120</v>
      </c>
      <c r="G417" s="140">
        <v>1.2279999999999999E-5</v>
      </c>
      <c r="H417"/>
    </row>
    <row r="418" spans="1:8" x14ac:dyDescent="0.2">
      <c r="A418" s="1" t="s">
        <v>374</v>
      </c>
      <c r="B418" s="1" t="s">
        <v>204</v>
      </c>
      <c r="C418" s="1" t="s">
        <v>10</v>
      </c>
      <c r="D418" s="1" t="s">
        <v>221</v>
      </c>
      <c r="E418" s="1" t="s">
        <v>20</v>
      </c>
      <c r="F418" s="1" t="s">
        <v>649</v>
      </c>
      <c r="G418" s="140">
        <v>4.0139999999999999E-5</v>
      </c>
      <c r="H418"/>
    </row>
    <row r="419" spans="1:8" x14ac:dyDescent="0.2">
      <c r="A419" s="1" t="s">
        <v>375</v>
      </c>
      <c r="B419" s="1" t="s">
        <v>204</v>
      </c>
      <c r="C419" s="1" t="s">
        <v>10</v>
      </c>
      <c r="D419" s="1" t="s">
        <v>591</v>
      </c>
      <c r="E419" s="1" t="s">
        <v>20</v>
      </c>
      <c r="F419" s="1" t="s">
        <v>102</v>
      </c>
      <c r="G419" s="140">
        <v>2.184E-4</v>
      </c>
      <c r="H419"/>
    </row>
    <row r="420" spans="1:8" x14ac:dyDescent="0.2">
      <c r="A420" s="1" t="s">
        <v>376</v>
      </c>
      <c r="B420" s="1" t="s">
        <v>204</v>
      </c>
      <c r="C420" s="1" t="s">
        <v>10</v>
      </c>
      <c r="D420" s="1" t="s">
        <v>592</v>
      </c>
      <c r="E420" s="1" t="s">
        <v>20</v>
      </c>
      <c r="F420" s="1" t="s">
        <v>707</v>
      </c>
      <c r="G420" s="140">
        <v>3.98E-6</v>
      </c>
      <c r="H420"/>
    </row>
    <row r="421" spans="1:8" x14ac:dyDescent="0.2">
      <c r="A421" s="1" t="s">
        <v>377</v>
      </c>
      <c r="B421" s="1" t="s">
        <v>204</v>
      </c>
      <c r="C421" s="1" t="s">
        <v>10</v>
      </c>
      <c r="D421" s="1" t="s">
        <v>593</v>
      </c>
      <c r="E421" s="1" t="s">
        <v>20</v>
      </c>
      <c r="F421" s="1" t="s">
        <v>101</v>
      </c>
      <c r="G421" s="140">
        <v>1.419E-5</v>
      </c>
      <c r="H421"/>
    </row>
    <row r="422" spans="1:8" x14ac:dyDescent="0.2">
      <c r="A422" s="1" t="s">
        <v>378</v>
      </c>
      <c r="B422" s="1" t="s">
        <v>204</v>
      </c>
      <c r="C422" s="1" t="s">
        <v>10</v>
      </c>
      <c r="D422" s="1" t="s">
        <v>594</v>
      </c>
      <c r="E422" s="1" t="s">
        <v>20</v>
      </c>
      <c r="F422" s="1" t="s">
        <v>103</v>
      </c>
      <c r="G422" s="140">
        <v>1.2980000000000001E-4</v>
      </c>
      <c r="H422"/>
    </row>
    <row r="423" spans="1:8" x14ac:dyDescent="0.2">
      <c r="A423" s="1" t="s">
        <v>379</v>
      </c>
      <c r="B423" s="1" t="s">
        <v>204</v>
      </c>
      <c r="C423" s="1" t="s">
        <v>10</v>
      </c>
      <c r="D423" s="1" t="s">
        <v>39</v>
      </c>
      <c r="E423" s="1" t="s">
        <v>20</v>
      </c>
      <c r="F423" s="1" t="s">
        <v>38</v>
      </c>
      <c r="G423" s="140">
        <v>2.013E-3</v>
      </c>
      <c r="H423"/>
    </row>
    <row r="424" spans="1:8" x14ac:dyDescent="0.2">
      <c r="A424" s="1" t="s">
        <v>380</v>
      </c>
      <c r="B424" s="1" t="s">
        <v>204</v>
      </c>
      <c r="C424" s="1" t="s">
        <v>10</v>
      </c>
      <c r="D424" s="1" t="s">
        <v>595</v>
      </c>
      <c r="E424" s="1" t="s">
        <v>20</v>
      </c>
      <c r="F424" s="1" t="s">
        <v>151</v>
      </c>
      <c r="G424" s="140">
        <v>9.9899999999999992E-6</v>
      </c>
      <c r="H424"/>
    </row>
    <row r="425" spans="1:8" x14ac:dyDescent="0.2">
      <c r="A425" s="1" t="s">
        <v>381</v>
      </c>
      <c r="B425" s="1" t="s">
        <v>204</v>
      </c>
      <c r="C425" s="1" t="s">
        <v>10</v>
      </c>
      <c r="D425" s="1" t="s">
        <v>596</v>
      </c>
      <c r="E425" s="1" t="s">
        <v>20</v>
      </c>
      <c r="F425" s="1" t="s">
        <v>124</v>
      </c>
      <c r="G425" s="140">
        <v>4.1125999999999999E-4</v>
      </c>
      <c r="H425"/>
    </row>
    <row r="426" spans="1:8" x14ac:dyDescent="0.2">
      <c r="A426" s="1" t="s">
        <v>382</v>
      </c>
      <c r="B426" s="1" t="s">
        <v>204</v>
      </c>
      <c r="C426" s="1" t="s">
        <v>10</v>
      </c>
      <c r="D426" s="1" t="s">
        <v>597</v>
      </c>
      <c r="E426" s="1" t="s">
        <v>20</v>
      </c>
      <c r="F426" s="1" t="s">
        <v>708</v>
      </c>
      <c r="G426" s="140">
        <v>5.02E-5</v>
      </c>
      <c r="H426"/>
    </row>
    <row r="427" spans="1:8" x14ac:dyDescent="0.2">
      <c r="A427" s="1" t="s">
        <v>383</v>
      </c>
      <c r="B427" s="1" t="s">
        <v>204</v>
      </c>
      <c r="C427" s="1" t="s">
        <v>10</v>
      </c>
      <c r="D427" s="1" t="s">
        <v>187</v>
      </c>
      <c r="E427" s="1" t="s">
        <v>20</v>
      </c>
      <c r="F427" s="1" t="s">
        <v>215</v>
      </c>
      <c r="G427" s="140">
        <v>1.1569999999999999E-5</v>
      </c>
      <c r="H427"/>
    </row>
    <row r="428" spans="1:8" x14ac:dyDescent="0.2">
      <c r="A428" s="1" t="s">
        <v>384</v>
      </c>
      <c r="B428" s="1" t="s">
        <v>204</v>
      </c>
      <c r="C428" s="1" t="s">
        <v>10</v>
      </c>
      <c r="D428" s="1" t="s">
        <v>598</v>
      </c>
      <c r="E428" s="1" t="s">
        <v>20</v>
      </c>
      <c r="F428" s="1" t="s">
        <v>89</v>
      </c>
      <c r="G428" s="140">
        <v>5.7000000000000005E-7</v>
      </c>
      <c r="H428"/>
    </row>
    <row r="429" spans="1:8" x14ac:dyDescent="0.2">
      <c r="A429" s="1" t="s">
        <v>385</v>
      </c>
      <c r="B429" s="1" t="s">
        <v>204</v>
      </c>
      <c r="C429" s="1" t="s">
        <v>10</v>
      </c>
      <c r="D429" s="1" t="s">
        <v>599</v>
      </c>
      <c r="E429" s="1" t="s">
        <v>20</v>
      </c>
      <c r="F429" s="1" t="s">
        <v>56</v>
      </c>
      <c r="G429" s="140">
        <v>3.7605E-3</v>
      </c>
      <c r="H429"/>
    </row>
    <row r="430" spans="1:8" x14ac:dyDescent="0.2">
      <c r="A430" s="1" t="s">
        <v>386</v>
      </c>
      <c r="B430" s="1" t="s">
        <v>204</v>
      </c>
      <c r="C430" s="1" t="s">
        <v>10</v>
      </c>
      <c r="D430" s="1" t="s">
        <v>600</v>
      </c>
      <c r="E430" s="1" t="s">
        <v>20</v>
      </c>
      <c r="F430" s="1" t="s">
        <v>669</v>
      </c>
      <c r="G430" s="140">
        <v>1.1641000000000001E-4</v>
      </c>
      <c r="H430"/>
    </row>
    <row r="431" spans="1:8" x14ac:dyDescent="0.2">
      <c r="A431" s="1" t="s">
        <v>1208</v>
      </c>
      <c r="B431" s="1" t="s">
        <v>204</v>
      </c>
      <c r="C431" s="1" t="s">
        <v>10</v>
      </c>
      <c r="D431" s="1" t="s">
        <v>1209</v>
      </c>
      <c r="E431" s="1" t="s">
        <v>20</v>
      </c>
      <c r="F431" s="1" t="s">
        <v>1210</v>
      </c>
      <c r="G431" s="140">
        <v>9.02E-6</v>
      </c>
      <c r="H431"/>
    </row>
    <row r="432" spans="1:8" x14ac:dyDescent="0.2">
      <c r="A432" s="1" t="s">
        <v>387</v>
      </c>
      <c r="B432" s="1" t="s">
        <v>204</v>
      </c>
      <c r="C432" s="1" t="s">
        <v>10</v>
      </c>
      <c r="D432" s="1" t="s">
        <v>194</v>
      </c>
      <c r="E432" s="1" t="s">
        <v>20</v>
      </c>
      <c r="F432" s="1" t="s">
        <v>194</v>
      </c>
      <c r="G432" s="140">
        <v>2.9827E-4</v>
      </c>
      <c r="H432"/>
    </row>
    <row r="433" spans="1:8" x14ac:dyDescent="0.2">
      <c r="A433" s="1" t="s">
        <v>388</v>
      </c>
      <c r="B433" s="1" t="s">
        <v>204</v>
      </c>
      <c r="C433" s="1" t="s">
        <v>10</v>
      </c>
      <c r="D433" s="1" t="s">
        <v>166</v>
      </c>
      <c r="E433" s="1" t="s">
        <v>20</v>
      </c>
      <c r="F433" s="1" t="s">
        <v>643</v>
      </c>
      <c r="G433" s="140">
        <v>2.1673999999999999E-4</v>
      </c>
      <c r="H433"/>
    </row>
    <row r="434" spans="1:8" x14ac:dyDescent="0.2">
      <c r="A434" s="1" t="s">
        <v>389</v>
      </c>
      <c r="B434" s="1" t="s">
        <v>204</v>
      </c>
      <c r="C434" s="1" t="s">
        <v>10</v>
      </c>
      <c r="D434" s="1" t="s">
        <v>601</v>
      </c>
      <c r="E434" s="1" t="s">
        <v>20</v>
      </c>
      <c r="F434" s="1" t="s">
        <v>64</v>
      </c>
      <c r="G434" s="140">
        <v>1.53E-6</v>
      </c>
      <c r="H434"/>
    </row>
    <row r="435" spans="1:8" x14ac:dyDescent="0.2">
      <c r="A435" s="1" t="s">
        <v>390</v>
      </c>
      <c r="B435" s="1" t="s">
        <v>204</v>
      </c>
      <c r="C435" s="1" t="s">
        <v>10</v>
      </c>
      <c r="D435" s="1" t="s">
        <v>602</v>
      </c>
      <c r="E435" s="1" t="s">
        <v>20</v>
      </c>
      <c r="F435" s="1" t="s">
        <v>148</v>
      </c>
      <c r="G435" s="140">
        <v>1.9040000000000001E-5</v>
      </c>
      <c r="H435"/>
    </row>
    <row r="436" spans="1:8" x14ac:dyDescent="0.2">
      <c r="A436" s="1" t="s">
        <v>391</v>
      </c>
      <c r="B436" s="1" t="s">
        <v>204</v>
      </c>
      <c r="C436" s="1" t="s">
        <v>10</v>
      </c>
      <c r="D436" s="1" t="s">
        <v>603</v>
      </c>
      <c r="E436" s="1" t="s">
        <v>20</v>
      </c>
      <c r="F436" s="1" t="s">
        <v>128</v>
      </c>
      <c r="G436" s="140">
        <v>2.3248999999999999E-4</v>
      </c>
      <c r="H436"/>
    </row>
    <row r="437" spans="1:8" x14ac:dyDescent="0.2">
      <c r="A437" s="1" t="s">
        <v>392</v>
      </c>
      <c r="B437" s="1" t="s">
        <v>204</v>
      </c>
      <c r="C437" s="1" t="s">
        <v>10</v>
      </c>
      <c r="D437" s="1" t="s">
        <v>604</v>
      </c>
      <c r="E437" s="1" t="s">
        <v>20</v>
      </c>
      <c r="F437" s="1" t="s">
        <v>709</v>
      </c>
      <c r="G437" s="140">
        <v>1.1777000000000001E-4</v>
      </c>
      <c r="H437"/>
    </row>
    <row r="438" spans="1:8" x14ac:dyDescent="0.2">
      <c r="A438" s="1" t="s">
        <v>393</v>
      </c>
      <c r="B438" s="1" t="s">
        <v>204</v>
      </c>
      <c r="C438" s="1" t="s">
        <v>10</v>
      </c>
      <c r="D438" s="1" t="s">
        <v>605</v>
      </c>
      <c r="E438" s="1" t="s">
        <v>20</v>
      </c>
      <c r="F438" s="1" t="s">
        <v>139</v>
      </c>
      <c r="G438" s="140">
        <v>3.786E-5</v>
      </c>
      <c r="H438"/>
    </row>
    <row r="439" spans="1:8" x14ac:dyDescent="0.2">
      <c r="A439" s="1" t="s">
        <v>394</v>
      </c>
      <c r="B439" s="1" t="s">
        <v>204</v>
      </c>
      <c r="C439" s="1" t="s">
        <v>10</v>
      </c>
      <c r="D439" s="1" t="s">
        <v>606</v>
      </c>
      <c r="E439" s="1" t="s">
        <v>20</v>
      </c>
      <c r="F439" s="1" t="s">
        <v>127</v>
      </c>
      <c r="G439" s="140">
        <v>5.5661699999999996E-3</v>
      </c>
      <c r="H439"/>
    </row>
    <row r="440" spans="1:8" x14ac:dyDescent="0.2">
      <c r="A440" s="1" t="s">
        <v>395</v>
      </c>
      <c r="B440" s="1" t="s">
        <v>204</v>
      </c>
      <c r="C440" s="1" t="s">
        <v>10</v>
      </c>
      <c r="D440" s="1" t="s">
        <v>607</v>
      </c>
      <c r="E440" s="1" t="s">
        <v>20</v>
      </c>
      <c r="F440" s="1" t="s">
        <v>158</v>
      </c>
      <c r="G440" s="140">
        <v>1.5767E-4</v>
      </c>
      <c r="H440"/>
    </row>
    <row r="441" spans="1:8" x14ac:dyDescent="0.2">
      <c r="A441" s="1" t="s">
        <v>396</v>
      </c>
      <c r="B441" s="1" t="s">
        <v>204</v>
      </c>
      <c r="C441" s="1" t="s">
        <v>10</v>
      </c>
      <c r="D441" s="1" t="s">
        <v>78</v>
      </c>
      <c r="E441" s="1" t="s">
        <v>20</v>
      </c>
      <c r="F441" s="1" t="s">
        <v>650</v>
      </c>
      <c r="G441" s="140">
        <v>1.219E-5</v>
      </c>
      <c r="H441"/>
    </row>
    <row r="442" spans="1:8" x14ac:dyDescent="0.2">
      <c r="A442" s="1" t="s">
        <v>397</v>
      </c>
      <c r="B442" s="1" t="s">
        <v>204</v>
      </c>
      <c r="C442" s="1" t="s">
        <v>10</v>
      </c>
      <c r="D442" s="1" t="s">
        <v>608</v>
      </c>
      <c r="E442" s="1" t="s">
        <v>20</v>
      </c>
      <c r="F442" s="1" t="s">
        <v>142</v>
      </c>
      <c r="G442" s="140">
        <v>2.8100999999999999E-4</v>
      </c>
      <c r="H442"/>
    </row>
    <row r="443" spans="1:8" x14ac:dyDescent="0.2">
      <c r="A443" s="1" t="s">
        <v>398</v>
      </c>
      <c r="B443" s="1" t="s">
        <v>204</v>
      </c>
      <c r="C443" s="1" t="s">
        <v>10</v>
      </c>
      <c r="D443" s="1" t="s">
        <v>609</v>
      </c>
      <c r="E443" s="1" t="s">
        <v>20</v>
      </c>
      <c r="F443" s="1" t="s">
        <v>122</v>
      </c>
      <c r="G443" s="140">
        <v>2.7710000000000001E-5</v>
      </c>
      <c r="H443"/>
    </row>
    <row r="444" spans="1:8" x14ac:dyDescent="0.2">
      <c r="A444" s="1" t="s">
        <v>1134</v>
      </c>
      <c r="B444" s="1" t="s">
        <v>204</v>
      </c>
      <c r="C444" s="1" t="s">
        <v>10</v>
      </c>
      <c r="D444" s="1" t="s">
        <v>1135</v>
      </c>
      <c r="E444" s="1" t="s">
        <v>20</v>
      </c>
      <c r="F444" s="1" t="s">
        <v>1136</v>
      </c>
      <c r="G444" s="140">
        <v>3.3819999999999998E-5</v>
      </c>
      <c r="H444"/>
    </row>
    <row r="445" spans="1:8" x14ac:dyDescent="0.2">
      <c r="A445" s="1" t="s">
        <v>399</v>
      </c>
      <c r="B445" s="1" t="s">
        <v>204</v>
      </c>
      <c r="C445" s="1" t="s">
        <v>10</v>
      </c>
      <c r="D445" s="1" t="s">
        <v>610</v>
      </c>
      <c r="E445" s="1" t="s">
        <v>20</v>
      </c>
      <c r="F445" s="1" t="s">
        <v>710</v>
      </c>
      <c r="G445" s="140">
        <v>1.9599999999999999E-6</v>
      </c>
      <c r="H445"/>
    </row>
    <row r="446" spans="1:8" x14ac:dyDescent="0.2">
      <c r="A446" s="1" t="s">
        <v>400</v>
      </c>
      <c r="B446" s="1" t="s">
        <v>204</v>
      </c>
      <c r="C446" s="1" t="s">
        <v>10</v>
      </c>
      <c r="D446" s="1" t="s">
        <v>49</v>
      </c>
      <c r="E446" s="1" t="s">
        <v>20</v>
      </c>
      <c r="F446" s="1" t="s">
        <v>711</v>
      </c>
      <c r="G446" s="140">
        <v>2.2269E-4</v>
      </c>
      <c r="H446"/>
    </row>
    <row r="447" spans="1:8" x14ac:dyDescent="0.2">
      <c r="A447" s="1" t="s">
        <v>401</v>
      </c>
      <c r="B447" s="1" t="s">
        <v>204</v>
      </c>
      <c r="C447" s="1" t="s">
        <v>10</v>
      </c>
      <c r="D447" s="1" t="s">
        <v>88</v>
      </c>
      <c r="E447" s="1" t="s">
        <v>20</v>
      </c>
      <c r="F447" s="1" t="s">
        <v>87</v>
      </c>
      <c r="G447" s="140">
        <v>9.2299999999999994E-5</v>
      </c>
      <c r="H447"/>
    </row>
    <row r="448" spans="1:8" x14ac:dyDescent="0.2">
      <c r="A448" s="1" t="s">
        <v>402</v>
      </c>
      <c r="B448" s="1" t="s">
        <v>204</v>
      </c>
      <c r="C448" s="1" t="s">
        <v>10</v>
      </c>
      <c r="D448" s="1" t="s">
        <v>46</v>
      </c>
      <c r="E448" s="1" t="s">
        <v>20</v>
      </c>
      <c r="F448" s="1" t="s">
        <v>45</v>
      </c>
      <c r="G448" s="140">
        <v>5.3890000000000003E-4</v>
      </c>
      <c r="H448"/>
    </row>
    <row r="449" spans="1:8" x14ac:dyDescent="0.2">
      <c r="A449" s="1" t="s">
        <v>403</v>
      </c>
      <c r="B449" s="1" t="s">
        <v>204</v>
      </c>
      <c r="C449" s="1" t="s">
        <v>10</v>
      </c>
      <c r="D449" s="1" t="s">
        <v>611</v>
      </c>
      <c r="E449" s="1" t="s">
        <v>20</v>
      </c>
      <c r="F449" s="1" t="s">
        <v>159</v>
      </c>
      <c r="G449" s="140">
        <v>7.2119999999999994E-5</v>
      </c>
      <c r="H449"/>
    </row>
    <row r="450" spans="1:8" x14ac:dyDescent="0.2">
      <c r="A450" s="1" t="s">
        <v>404</v>
      </c>
      <c r="B450" s="1" t="s">
        <v>204</v>
      </c>
      <c r="C450" s="1" t="s">
        <v>10</v>
      </c>
      <c r="D450" s="1" t="s">
        <v>612</v>
      </c>
      <c r="E450" s="1" t="s">
        <v>20</v>
      </c>
      <c r="F450" s="1" t="s">
        <v>712</v>
      </c>
      <c r="G450" s="140">
        <v>1.4527E-4</v>
      </c>
      <c r="H450"/>
    </row>
    <row r="451" spans="1:8" x14ac:dyDescent="0.2">
      <c r="A451" s="1" t="s">
        <v>405</v>
      </c>
      <c r="B451" s="1" t="s">
        <v>204</v>
      </c>
      <c r="C451" s="1" t="s">
        <v>10</v>
      </c>
      <c r="D451" s="1" t="s">
        <v>613</v>
      </c>
      <c r="E451" s="1" t="s">
        <v>20</v>
      </c>
      <c r="F451" s="1" t="s">
        <v>160</v>
      </c>
      <c r="G451" s="140">
        <v>4.3000000000000002E-5</v>
      </c>
      <c r="H451"/>
    </row>
    <row r="452" spans="1:8" x14ac:dyDescent="0.2">
      <c r="A452" s="1" t="s">
        <v>406</v>
      </c>
      <c r="B452" s="1" t="s">
        <v>204</v>
      </c>
      <c r="C452" s="1" t="s">
        <v>10</v>
      </c>
      <c r="D452" s="1" t="s">
        <v>614</v>
      </c>
      <c r="E452" s="1" t="s">
        <v>20</v>
      </c>
      <c r="F452" s="1" t="s">
        <v>644</v>
      </c>
      <c r="G452" s="140">
        <v>4.0099999999999999E-5</v>
      </c>
      <c r="H452"/>
    </row>
    <row r="453" spans="1:8" x14ac:dyDescent="0.2">
      <c r="A453" s="1" t="s">
        <v>407</v>
      </c>
      <c r="B453" s="1" t="s">
        <v>204</v>
      </c>
      <c r="C453" s="1" t="s">
        <v>10</v>
      </c>
      <c r="D453" s="1" t="s">
        <v>615</v>
      </c>
      <c r="E453" s="1" t="s">
        <v>20</v>
      </c>
      <c r="F453" s="1" t="s">
        <v>162</v>
      </c>
      <c r="G453" s="140">
        <v>6.3400000000000003E-6</v>
      </c>
      <c r="H453"/>
    </row>
    <row r="454" spans="1:8" x14ac:dyDescent="0.2">
      <c r="A454" s="1" t="s">
        <v>408</v>
      </c>
      <c r="B454" s="1" t="s">
        <v>204</v>
      </c>
      <c r="C454" s="1" t="s">
        <v>10</v>
      </c>
      <c r="D454" s="1" t="s">
        <v>616</v>
      </c>
      <c r="E454" s="1" t="s">
        <v>20</v>
      </c>
      <c r="F454" s="1" t="s">
        <v>145</v>
      </c>
      <c r="G454" s="140">
        <v>3.5370000000000002E-5</v>
      </c>
      <c r="H454"/>
    </row>
    <row r="455" spans="1:8" x14ac:dyDescent="0.2">
      <c r="A455" s="1" t="s">
        <v>409</v>
      </c>
      <c r="B455" s="1" t="s">
        <v>204</v>
      </c>
      <c r="C455" s="1" t="s">
        <v>10</v>
      </c>
      <c r="D455" s="1" t="s">
        <v>617</v>
      </c>
      <c r="E455" s="1" t="s">
        <v>20</v>
      </c>
      <c r="F455" s="1" t="s">
        <v>172</v>
      </c>
      <c r="G455" s="140">
        <v>2.1479E-4</v>
      </c>
      <c r="H455"/>
    </row>
    <row r="456" spans="1:8" x14ac:dyDescent="0.2">
      <c r="A456" s="1" t="s">
        <v>410</v>
      </c>
      <c r="B456" s="1" t="s">
        <v>204</v>
      </c>
      <c r="C456" s="1" t="s">
        <v>10</v>
      </c>
      <c r="D456" s="1" t="s">
        <v>618</v>
      </c>
      <c r="E456" s="1" t="s">
        <v>20</v>
      </c>
      <c r="F456" s="1" t="s">
        <v>713</v>
      </c>
      <c r="G456" s="140">
        <v>2.196E-5</v>
      </c>
      <c r="H456"/>
    </row>
    <row r="457" spans="1:8" x14ac:dyDescent="0.2">
      <c r="A457" s="1" t="s">
        <v>411</v>
      </c>
      <c r="B457" s="1" t="s">
        <v>204</v>
      </c>
      <c r="C457" s="1" t="s">
        <v>10</v>
      </c>
      <c r="D457" s="1" t="s">
        <v>619</v>
      </c>
      <c r="E457" s="1" t="s">
        <v>20</v>
      </c>
      <c r="F457" s="1" t="s">
        <v>175</v>
      </c>
      <c r="G457" s="140">
        <v>8.8000000000000004E-6</v>
      </c>
      <c r="H457"/>
    </row>
    <row r="458" spans="1:8" x14ac:dyDescent="0.2">
      <c r="A458" s="1" t="s">
        <v>1197</v>
      </c>
      <c r="B458" s="1" t="s">
        <v>204</v>
      </c>
      <c r="C458" s="1" t="s">
        <v>10</v>
      </c>
      <c r="D458" s="1" t="s">
        <v>185</v>
      </c>
      <c r="E458" s="1" t="s">
        <v>20</v>
      </c>
      <c r="F458" s="1" t="s">
        <v>997</v>
      </c>
      <c r="G458" s="140">
        <v>6.1600000000000003E-6</v>
      </c>
      <c r="H458"/>
    </row>
    <row r="459" spans="1:8" x14ac:dyDescent="0.2">
      <c r="A459" s="1" t="s">
        <v>1198</v>
      </c>
      <c r="B459" s="1" t="s">
        <v>204</v>
      </c>
      <c r="C459" s="1" t="s">
        <v>10</v>
      </c>
      <c r="D459" s="1" t="s">
        <v>1199</v>
      </c>
      <c r="E459" s="1" t="s">
        <v>20</v>
      </c>
      <c r="F459" s="1" t="s">
        <v>1200</v>
      </c>
      <c r="G459" s="140">
        <v>1.4627999999999999E-4</v>
      </c>
      <c r="H459"/>
    </row>
    <row r="460" spans="1:8" x14ac:dyDescent="0.2">
      <c r="A460" s="1" t="s">
        <v>412</v>
      </c>
      <c r="B460" s="1" t="s">
        <v>204</v>
      </c>
      <c r="C460" s="1" t="s">
        <v>10</v>
      </c>
      <c r="D460" s="1" t="s">
        <v>620</v>
      </c>
      <c r="E460" s="1" t="s">
        <v>20</v>
      </c>
      <c r="F460" s="1" t="s">
        <v>170</v>
      </c>
      <c r="G460" s="140">
        <v>1.9120000000000001E-4</v>
      </c>
      <c r="H460"/>
    </row>
    <row r="461" spans="1:8" x14ac:dyDescent="0.2">
      <c r="A461" s="1" t="s">
        <v>413</v>
      </c>
      <c r="B461" s="1" t="s">
        <v>204</v>
      </c>
      <c r="C461" s="1" t="s">
        <v>10</v>
      </c>
      <c r="D461" s="1" t="s">
        <v>621</v>
      </c>
      <c r="E461" s="1" t="s">
        <v>20</v>
      </c>
      <c r="F461" s="1" t="s">
        <v>83</v>
      </c>
      <c r="G461" s="140">
        <v>1.8536E-4</v>
      </c>
      <c r="H461"/>
    </row>
    <row r="462" spans="1:8" x14ac:dyDescent="0.2">
      <c r="A462" s="1" t="s">
        <v>660</v>
      </c>
      <c r="B462" s="1" t="s">
        <v>204</v>
      </c>
      <c r="C462" s="1" t="s">
        <v>10</v>
      </c>
      <c r="D462" s="1" t="s">
        <v>661</v>
      </c>
      <c r="E462" s="1" t="s">
        <v>20</v>
      </c>
      <c r="F462" s="1" t="s">
        <v>714</v>
      </c>
      <c r="G462" s="140">
        <v>2.105E-5</v>
      </c>
      <c r="H462"/>
    </row>
    <row r="463" spans="1:8" x14ac:dyDescent="0.2">
      <c r="A463" s="1" t="s">
        <v>414</v>
      </c>
      <c r="B463" s="1" t="s">
        <v>204</v>
      </c>
      <c r="C463" s="1" t="s">
        <v>10</v>
      </c>
      <c r="D463" s="1" t="s">
        <v>622</v>
      </c>
      <c r="E463" s="1" t="s">
        <v>20</v>
      </c>
      <c r="F463" s="1" t="s">
        <v>180</v>
      </c>
      <c r="G463" s="140">
        <v>7.5779999999999996E-5</v>
      </c>
      <c r="H463"/>
    </row>
    <row r="464" spans="1:8" x14ac:dyDescent="0.2">
      <c r="A464" s="1" t="s">
        <v>1217</v>
      </c>
      <c r="B464" s="1" t="s">
        <v>204</v>
      </c>
      <c r="C464" s="1" t="s">
        <v>10</v>
      </c>
      <c r="D464" s="1" t="s">
        <v>1218</v>
      </c>
      <c r="E464" s="1" t="s">
        <v>20</v>
      </c>
      <c r="F464" s="1" t="s">
        <v>1219</v>
      </c>
      <c r="G464" s="140">
        <v>1.982E-5</v>
      </c>
      <c r="H464"/>
    </row>
    <row r="465" spans="1:8" x14ac:dyDescent="0.2">
      <c r="A465" s="1" t="s">
        <v>1144</v>
      </c>
      <c r="B465" s="1" t="s">
        <v>204</v>
      </c>
      <c r="C465" s="1" t="s">
        <v>10</v>
      </c>
      <c r="D465" s="1" t="s">
        <v>1145</v>
      </c>
      <c r="E465" s="1" t="s">
        <v>20</v>
      </c>
      <c r="F465" s="1" t="s">
        <v>1146</v>
      </c>
      <c r="G465" s="140">
        <v>4.2300000000000002E-6</v>
      </c>
      <c r="H465"/>
    </row>
    <row r="466" spans="1:8" x14ac:dyDescent="0.2">
      <c r="A466" s="1" t="s">
        <v>415</v>
      </c>
      <c r="B466" s="1" t="s">
        <v>204</v>
      </c>
      <c r="C466" s="1" t="s">
        <v>10</v>
      </c>
      <c r="D466" s="1" t="s">
        <v>623</v>
      </c>
      <c r="E466" s="1" t="s">
        <v>20</v>
      </c>
      <c r="F466" s="1" t="s">
        <v>645</v>
      </c>
      <c r="G466" s="140">
        <v>1.7384E-4</v>
      </c>
      <c r="H466"/>
    </row>
    <row r="467" spans="1:8" x14ac:dyDescent="0.2">
      <c r="A467" s="1" t="s">
        <v>416</v>
      </c>
      <c r="B467" s="1" t="s">
        <v>204</v>
      </c>
      <c r="C467" s="1" t="s">
        <v>10</v>
      </c>
      <c r="D467" s="1" t="s">
        <v>198</v>
      </c>
      <c r="E467" s="1" t="s">
        <v>20</v>
      </c>
      <c r="F467" s="1" t="s">
        <v>199</v>
      </c>
      <c r="G467" s="140">
        <v>1.6460000000000002E-5</v>
      </c>
      <c r="H467"/>
    </row>
    <row r="468" spans="1:8" x14ac:dyDescent="0.2">
      <c r="A468" s="1" t="s">
        <v>417</v>
      </c>
      <c r="B468" s="1" t="s">
        <v>204</v>
      </c>
      <c r="C468" s="1" t="s">
        <v>10</v>
      </c>
      <c r="D468" s="1" t="s">
        <v>624</v>
      </c>
      <c r="E468" s="1" t="s">
        <v>20</v>
      </c>
      <c r="F468" s="1" t="s">
        <v>137</v>
      </c>
      <c r="G468" s="140">
        <v>6.0999999999999999E-5</v>
      </c>
      <c r="H468"/>
    </row>
    <row r="469" spans="1:8" x14ac:dyDescent="0.2">
      <c r="A469" s="1" t="s">
        <v>418</v>
      </c>
      <c r="B469" s="1" t="s">
        <v>204</v>
      </c>
      <c r="C469" s="1" t="s">
        <v>10</v>
      </c>
      <c r="D469" s="1" t="s">
        <v>625</v>
      </c>
      <c r="E469" s="1" t="s">
        <v>20</v>
      </c>
      <c r="F469" s="1" t="s">
        <v>715</v>
      </c>
      <c r="G469" s="140">
        <v>2.8111999999999999E-4</v>
      </c>
      <c r="H469"/>
    </row>
    <row r="470" spans="1:8" x14ac:dyDescent="0.2">
      <c r="A470" s="1" t="s">
        <v>419</v>
      </c>
      <c r="B470" s="1" t="s">
        <v>204</v>
      </c>
      <c r="C470" s="1" t="s">
        <v>10</v>
      </c>
      <c r="D470" s="1" t="s">
        <v>95</v>
      </c>
      <c r="E470" s="1" t="s">
        <v>20</v>
      </c>
      <c r="F470" s="1" t="s">
        <v>94</v>
      </c>
      <c r="G470" s="140">
        <v>2.2927000000000001E-4</v>
      </c>
      <c r="H470"/>
    </row>
    <row r="471" spans="1:8" x14ac:dyDescent="0.2">
      <c r="A471" s="1" t="s">
        <v>420</v>
      </c>
      <c r="B471" s="1" t="s">
        <v>204</v>
      </c>
      <c r="C471" s="1" t="s">
        <v>10</v>
      </c>
      <c r="D471" s="1" t="s">
        <v>626</v>
      </c>
      <c r="E471" s="1" t="s">
        <v>20</v>
      </c>
      <c r="F471" s="1" t="s">
        <v>174</v>
      </c>
      <c r="G471" s="140">
        <v>3.6229999999999997E-5</v>
      </c>
      <c r="H471"/>
    </row>
    <row r="472" spans="1:8" x14ac:dyDescent="0.2">
      <c r="A472" s="1" t="s">
        <v>421</v>
      </c>
      <c r="B472" s="1" t="s">
        <v>204</v>
      </c>
      <c r="C472" s="1" t="s">
        <v>10</v>
      </c>
      <c r="D472" s="1" t="s">
        <v>44</v>
      </c>
      <c r="E472" s="1" t="s">
        <v>20</v>
      </c>
      <c r="F472" s="1" t="s">
        <v>43</v>
      </c>
      <c r="G472" s="140">
        <v>5.1197000000000005E-4</v>
      </c>
      <c r="H472"/>
    </row>
    <row r="473" spans="1:8" x14ac:dyDescent="0.2">
      <c r="A473" s="1" t="s">
        <v>1139</v>
      </c>
      <c r="B473" s="1" t="s">
        <v>204</v>
      </c>
      <c r="C473" s="1" t="s">
        <v>10</v>
      </c>
      <c r="D473" s="1" t="s">
        <v>1140</v>
      </c>
      <c r="E473" s="1" t="s">
        <v>20</v>
      </c>
      <c r="F473" s="1" t="s">
        <v>1140</v>
      </c>
      <c r="G473" s="140">
        <v>2.0999999999999999E-5</v>
      </c>
      <c r="H473"/>
    </row>
    <row r="474" spans="1:8" x14ac:dyDescent="0.2">
      <c r="A474" s="1" t="s">
        <v>422</v>
      </c>
      <c r="B474" s="1" t="s">
        <v>204</v>
      </c>
      <c r="C474" s="1" t="s">
        <v>10</v>
      </c>
      <c r="D474" s="1" t="s">
        <v>627</v>
      </c>
      <c r="E474" s="1" t="s">
        <v>20</v>
      </c>
      <c r="F474" s="1" t="s">
        <v>651</v>
      </c>
      <c r="G474" s="140">
        <v>5.2120000000000002E-5</v>
      </c>
      <c r="H474"/>
    </row>
    <row r="475" spans="1:8" x14ac:dyDescent="0.2">
      <c r="A475" s="1" t="s">
        <v>423</v>
      </c>
      <c r="B475" s="1" t="s">
        <v>204</v>
      </c>
      <c r="C475" s="1" t="s">
        <v>10</v>
      </c>
      <c r="D475" s="1" t="s">
        <v>628</v>
      </c>
      <c r="E475" s="1" t="s">
        <v>20</v>
      </c>
      <c r="F475" s="1" t="s">
        <v>106</v>
      </c>
      <c r="G475" s="140">
        <v>1.4845500000000001E-3</v>
      </c>
      <c r="H475"/>
    </row>
    <row r="476" spans="1:8" x14ac:dyDescent="0.2">
      <c r="A476" s="1" t="s">
        <v>424</v>
      </c>
      <c r="B476" s="1" t="s">
        <v>204</v>
      </c>
      <c r="C476" s="1" t="s">
        <v>10</v>
      </c>
      <c r="D476" s="1" t="s">
        <v>629</v>
      </c>
      <c r="E476" s="1" t="s">
        <v>20</v>
      </c>
      <c r="F476" s="1" t="s">
        <v>121</v>
      </c>
      <c r="G476" s="140">
        <v>9.5000000000000001E-7</v>
      </c>
      <c r="H476"/>
    </row>
    <row r="477" spans="1:8" x14ac:dyDescent="0.2">
      <c r="A477" s="1" t="s">
        <v>425</v>
      </c>
      <c r="B477" s="1" t="s">
        <v>204</v>
      </c>
      <c r="C477" s="1" t="s">
        <v>10</v>
      </c>
      <c r="D477" s="1" t="s">
        <v>630</v>
      </c>
      <c r="E477" s="1" t="s">
        <v>20</v>
      </c>
      <c r="F477" s="1" t="s">
        <v>91</v>
      </c>
      <c r="G477" s="140">
        <v>2.7250000000000002E-5</v>
      </c>
      <c r="H477"/>
    </row>
    <row r="478" spans="1:8" x14ac:dyDescent="0.2">
      <c r="A478" s="1" t="s">
        <v>426</v>
      </c>
      <c r="B478" s="1" t="s">
        <v>204</v>
      </c>
      <c r="C478" s="1" t="s">
        <v>10</v>
      </c>
      <c r="D478" s="1" t="s">
        <v>631</v>
      </c>
      <c r="E478" s="1" t="s">
        <v>20</v>
      </c>
      <c r="F478" s="1" t="s">
        <v>646</v>
      </c>
      <c r="G478" s="140">
        <v>3.0729999999999999E-5</v>
      </c>
      <c r="H478"/>
    </row>
    <row r="479" spans="1:8" x14ac:dyDescent="0.2">
      <c r="A479" s="1" t="s">
        <v>427</v>
      </c>
      <c r="B479" s="1" t="s">
        <v>204</v>
      </c>
      <c r="C479" s="1" t="s">
        <v>10</v>
      </c>
      <c r="D479" s="1" t="s">
        <v>58</v>
      </c>
      <c r="E479" s="1" t="s">
        <v>20</v>
      </c>
      <c r="F479" s="1" t="s">
        <v>247</v>
      </c>
      <c r="G479" s="140">
        <v>2.652E-5</v>
      </c>
      <c r="H479"/>
    </row>
    <row r="480" spans="1:8" x14ac:dyDescent="0.2">
      <c r="A480" s="1" t="s">
        <v>428</v>
      </c>
      <c r="B480" s="1" t="s">
        <v>204</v>
      </c>
      <c r="C480" s="1" t="s">
        <v>10</v>
      </c>
      <c r="D480" s="1" t="s">
        <v>632</v>
      </c>
      <c r="E480" s="1" t="s">
        <v>20</v>
      </c>
      <c r="F480" s="1" t="s">
        <v>176</v>
      </c>
      <c r="G480" s="140">
        <v>3.1099999999999997E-5</v>
      </c>
      <c r="H480"/>
    </row>
    <row r="481" spans="1:8" x14ac:dyDescent="0.2">
      <c r="A481" s="1" t="s">
        <v>429</v>
      </c>
      <c r="B481" s="1" t="s">
        <v>204</v>
      </c>
      <c r="C481" s="1" t="s">
        <v>10</v>
      </c>
      <c r="D481" s="1" t="s">
        <v>33</v>
      </c>
      <c r="E481" s="1" t="s">
        <v>20</v>
      </c>
      <c r="F481" s="1" t="s">
        <v>32</v>
      </c>
      <c r="G481" s="140">
        <v>2.420104E-2</v>
      </c>
      <c r="H481"/>
    </row>
    <row r="482" spans="1:8" x14ac:dyDescent="0.2">
      <c r="A482" s="1" t="s">
        <v>430</v>
      </c>
      <c r="B482" s="1" t="s">
        <v>204</v>
      </c>
      <c r="C482" s="1" t="s">
        <v>10</v>
      </c>
      <c r="D482" s="1" t="s">
        <v>633</v>
      </c>
      <c r="E482" s="1" t="s">
        <v>20</v>
      </c>
      <c r="F482" s="1" t="s">
        <v>161</v>
      </c>
      <c r="G482" s="140">
        <v>6.7000000000000004E-7</v>
      </c>
      <c r="H482"/>
    </row>
    <row r="483" spans="1:8" x14ac:dyDescent="0.2">
      <c r="A483" s="1" t="s">
        <v>431</v>
      </c>
      <c r="B483" s="1" t="s">
        <v>204</v>
      </c>
      <c r="C483" s="1" t="s">
        <v>10</v>
      </c>
      <c r="D483" s="1" t="s">
        <v>27</v>
      </c>
      <c r="E483" s="1" t="s">
        <v>20</v>
      </c>
      <c r="F483" s="1" t="s">
        <v>28</v>
      </c>
      <c r="G483" s="140">
        <v>7.1390000000000006E-5</v>
      </c>
      <c r="H483"/>
    </row>
    <row r="484" spans="1:8" x14ac:dyDescent="0.2">
      <c r="A484" s="1" t="s">
        <v>432</v>
      </c>
      <c r="B484" s="1" t="s">
        <v>204</v>
      </c>
      <c r="C484" s="1" t="s">
        <v>10</v>
      </c>
      <c r="D484" s="1" t="s">
        <v>634</v>
      </c>
      <c r="E484" s="1" t="s">
        <v>20</v>
      </c>
      <c r="F484" s="1" t="s">
        <v>716</v>
      </c>
      <c r="G484" s="140">
        <v>2.548E-5</v>
      </c>
      <c r="H484"/>
    </row>
    <row r="485" spans="1:8" x14ac:dyDescent="0.2">
      <c r="A485" s="1" t="s">
        <v>433</v>
      </c>
      <c r="B485" s="1" t="s">
        <v>204</v>
      </c>
      <c r="C485" s="1" t="s">
        <v>10</v>
      </c>
      <c r="D485" s="1" t="s">
        <v>635</v>
      </c>
      <c r="E485" s="1" t="s">
        <v>20</v>
      </c>
      <c r="F485" s="1" t="s">
        <v>144</v>
      </c>
      <c r="G485" s="140">
        <v>4.1529999999999997E-5</v>
      </c>
      <c r="H485"/>
    </row>
    <row r="486" spans="1:8" x14ac:dyDescent="0.2">
      <c r="A486" s="1" t="s">
        <v>434</v>
      </c>
      <c r="B486" s="1" t="s">
        <v>204</v>
      </c>
      <c r="C486" s="1" t="s">
        <v>10</v>
      </c>
      <c r="D486" s="1" t="s">
        <v>80</v>
      </c>
      <c r="E486" s="1" t="s">
        <v>20</v>
      </c>
      <c r="F486" s="1" t="s">
        <v>79</v>
      </c>
      <c r="G486" s="140">
        <v>5.1599999999999997E-6</v>
      </c>
      <c r="H486"/>
    </row>
    <row r="487" spans="1:8" x14ac:dyDescent="0.2">
      <c r="A487" s="1" t="s">
        <v>435</v>
      </c>
      <c r="B487" s="1" t="s">
        <v>204</v>
      </c>
      <c r="C487" s="1" t="s">
        <v>10</v>
      </c>
      <c r="D487" s="1" t="s">
        <v>636</v>
      </c>
      <c r="E487" s="1" t="s">
        <v>20</v>
      </c>
      <c r="F487" s="1" t="s">
        <v>154</v>
      </c>
      <c r="G487" s="140">
        <v>1.03E-5</v>
      </c>
      <c r="H487"/>
    </row>
    <row r="488" spans="1:8" x14ac:dyDescent="0.2">
      <c r="A488" s="1" t="s">
        <v>436</v>
      </c>
      <c r="B488" s="1" t="s">
        <v>204</v>
      </c>
      <c r="C488" s="1" t="s">
        <v>10</v>
      </c>
      <c r="D488" s="1" t="s">
        <v>97</v>
      </c>
      <c r="E488" s="1" t="s">
        <v>20</v>
      </c>
      <c r="F488" s="1" t="s">
        <v>96</v>
      </c>
      <c r="G488" s="140">
        <v>4.0000000000000001E-3</v>
      </c>
      <c r="H488"/>
    </row>
    <row r="489" spans="1:8" x14ac:dyDescent="0.2">
      <c r="A489" s="1" t="s">
        <v>437</v>
      </c>
      <c r="B489" s="1" t="s">
        <v>204</v>
      </c>
      <c r="C489" s="1" t="s">
        <v>10</v>
      </c>
      <c r="D489" s="1" t="s">
        <v>637</v>
      </c>
      <c r="E489" s="1" t="s">
        <v>20</v>
      </c>
      <c r="F489" s="1" t="s">
        <v>717</v>
      </c>
      <c r="G489" s="140">
        <v>4.0881000000000001E-4</v>
      </c>
      <c r="H489"/>
    </row>
    <row r="490" spans="1:8" x14ac:dyDescent="0.2">
      <c r="A490" s="1" t="s">
        <v>438</v>
      </c>
      <c r="B490" s="1" t="s">
        <v>204</v>
      </c>
      <c r="C490" s="1" t="s">
        <v>10</v>
      </c>
      <c r="D490" s="1" t="s">
        <v>16</v>
      </c>
      <c r="E490" s="1" t="s">
        <v>20</v>
      </c>
      <c r="F490" s="1" t="s">
        <v>40</v>
      </c>
      <c r="G490" s="140">
        <v>2.6926950000000002E-2</v>
      </c>
      <c r="H490"/>
    </row>
    <row r="491" spans="1:8" x14ac:dyDescent="0.2">
      <c r="A491" s="1" t="s">
        <v>439</v>
      </c>
      <c r="B491" s="1" t="s">
        <v>204</v>
      </c>
      <c r="C491" s="1" t="s">
        <v>10</v>
      </c>
      <c r="D491" s="1" t="s">
        <v>638</v>
      </c>
      <c r="E491" s="1" t="s">
        <v>20</v>
      </c>
      <c r="F491" s="1" t="s">
        <v>718</v>
      </c>
      <c r="G491" s="140">
        <v>2.30999E-3</v>
      </c>
      <c r="H491"/>
    </row>
    <row r="492" spans="1:8" x14ac:dyDescent="0.2">
      <c r="A492" s="1" t="s">
        <v>1142</v>
      </c>
      <c r="B492" s="1" t="s">
        <v>204</v>
      </c>
      <c r="C492" s="1" t="s">
        <v>10</v>
      </c>
      <c r="D492" s="1" t="s">
        <v>71</v>
      </c>
      <c r="E492" s="1" t="s">
        <v>20</v>
      </c>
      <c r="F492" s="1" t="s">
        <v>647</v>
      </c>
      <c r="G492" s="140">
        <v>7.1470000000000005E-5</v>
      </c>
      <c r="H492"/>
    </row>
    <row r="493" spans="1:8" x14ac:dyDescent="0.2">
      <c r="A493" s="1" t="s">
        <v>440</v>
      </c>
      <c r="B493" s="1" t="s">
        <v>204</v>
      </c>
      <c r="C493" s="1" t="s">
        <v>9</v>
      </c>
      <c r="D493" s="1" t="s">
        <v>195</v>
      </c>
      <c r="E493" s="1" t="s">
        <v>29</v>
      </c>
      <c r="F493" s="1" t="s">
        <v>648</v>
      </c>
      <c r="G493" s="140">
        <v>3.6880000000000002E-4</v>
      </c>
      <c r="H493"/>
    </row>
    <row r="494" spans="1:8" x14ac:dyDescent="0.2">
      <c r="A494" s="1" t="s">
        <v>441</v>
      </c>
      <c r="B494" s="1" t="s">
        <v>204</v>
      </c>
      <c r="C494" s="1" t="s">
        <v>9</v>
      </c>
      <c r="D494" s="1" t="s">
        <v>504</v>
      </c>
      <c r="E494" s="1" t="s">
        <v>29</v>
      </c>
      <c r="F494" s="1" t="s">
        <v>110</v>
      </c>
      <c r="G494" s="140">
        <v>6.8029999999999997E-5</v>
      </c>
      <c r="H494"/>
    </row>
    <row r="495" spans="1:8" x14ac:dyDescent="0.2">
      <c r="A495" s="1" t="s">
        <v>442</v>
      </c>
      <c r="B495" s="1" t="s">
        <v>204</v>
      </c>
      <c r="C495" s="1" t="s">
        <v>9</v>
      </c>
      <c r="D495" s="1" t="s">
        <v>100</v>
      </c>
      <c r="E495" s="1" t="s">
        <v>29</v>
      </c>
      <c r="F495" s="1" t="s">
        <v>99</v>
      </c>
      <c r="G495" s="140">
        <v>1.5784900000000001E-3</v>
      </c>
      <c r="H495"/>
    </row>
    <row r="496" spans="1:8" x14ac:dyDescent="0.2">
      <c r="A496" s="1" t="s">
        <v>443</v>
      </c>
      <c r="B496" s="1" t="s">
        <v>204</v>
      </c>
      <c r="C496" s="1" t="s">
        <v>9</v>
      </c>
      <c r="D496" s="1" t="s">
        <v>506</v>
      </c>
      <c r="E496" s="1" t="s">
        <v>29</v>
      </c>
      <c r="F496" s="1" t="s">
        <v>82</v>
      </c>
      <c r="G496" s="140">
        <v>7.1599899999999998E-3</v>
      </c>
      <c r="H496"/>
    </row>
    <row r="497" spans="1:8" x14ac:dyDescent="0.2">
      <c r="A497" s="1" t="s">
        <v>444</v>
      </c>
      <c r="B497" s="1" t="s">
        <v>204</v>
      </c>
      <c r="C497" s="1" t="s">
        <v>9</v>
      </c>
      <c r="D497" s="1" t="s">
        <v>53</v>
      </c>
      <c r="E497" s="1" t="s">
        <v>29</v>
      </c>
      <c r="F497" s="1" t="s">
        <v>52</v>
      </c>
      <c r="G497" s="140">
        <v>4.8000000000000001E-4</v>
      </c>
      <c r="H497"/>
    </row>
    <row r="498" spans="1:8" x14ac:dyDescent="0.2">
      <c r="A498" s="1" t="s">
        <v>1166</v>
      </c>
      <c r="B498" s="1" t="s">
        <v>204</v>
      </c>
      <c r="C498" s="1" t="s">
        <v>9</v>
      </c>
      <c r="D498" s="1" t="s">
        <v>30</v>
      </c>
      <c r="E498" s="1" t="s">
        <v>29</v>
      </c>
      <c r="F498" s="1" t="s">
        <v>19</v>
      </c>
      <c r="G498" s="140">
        <v>1.9</v>
      </c>
      <c r="H498"/>
    </row>
    <row r="499" spans="1:8" x14ac:dyDescent="0.2">
      <c r="A499" s="1" t="s">
        <v>1152</v>
      </c>
      <c r="B499" s="1" t="s">
        <v>204</v>
      </c>
      <c r="C499" s="1" t="s">
        <v>9</v>
      </c>
      <c r="D499" s="1" t="s">
        <v>773</v>
      </c>
      <c r="E499" s="1" t="s">
        <v>29</v>
      </c>
      <c r="F499" s="1" t="s">
        <v>774</v>
      </c>
      <c r="G499" s="140">
        <v>9.5E-4</v>
      </c>
      <c r="H499"/>
    </row>
    <row r="500" spans="1:8" x14ac:dyDescent="0.2">
      <c r="A500" s="1" t="s">
        <v>445</v>
      </c>
      <c r="B500" s="1" t="s">
        <v>204</v>
      </c>
      <c r="C500" s="1" t="s">
        <v>9</v>
      </c>
      <c r="D500" s="1" t="s">
        <v>76</v>
      </c>
      <c r="E500" s="1" t="s">
        <v>29</v>
      </c>
      <c r="F500" s="1" t="s">
        <v>75</v>
      </c>
      <c r="G500" s="140">
        <v>5.6381000000000001E-3</v>
      </c>
      <c r="H500"/>
    </row>
    <row r="501" spans="1:8" x14ac:dyDescent="0.2">
      <c r="A501" s="1" t="s">
        <v>446</v>
      </c>
      <c r="B501" s="1" t="s">
        <v>204</v>
      </c>
      <c r="C501" s="1" t="s">
        <v>9</v>
      </c>
      <c r="D501" s="1" t="s">
        <v>228</v>
      </c>
      <c r="E501" s="1" t="s">
        <v>29</v>
      </c>
      <c r="F501" s="1" t="s">
        <v>229</v>
      </c>
      <c r="G501" s="140">
        <v>0.11481614</v>
      </c>
      <c r="H501"/>
    </row>
    <row r="502" spans="1:8" x14ac:dyDescent="0.2">
      <c r="A502" s="1" t="s">
        <v>447</v>
      </c>
      <c r="B502" s="1" t="s">
        <v>204</v>
      </c>
      <c r="C502" s="1" t="s">
        <v>9</v>
      </c>
      <c r="D502" s="1" t="s">
        <v>520</v>
      </c>
      <c r="E502" s="1" t="s">
        <v>29</v>
      </c>
      <c r="F502" s="1" t="s">
        <v>86</v>
      </c>
      <c r="G502" s="140">
        <v>1.3333E-4</v>
      </c>
      <c r="H502"/>
    </row>
    <row r="503" spans="1:8" x14ac:dyDescent="0.2">
      <c r="A503" s="1" t="s">
        <v>448</v>
      </c>
      <c r="B503" s="1" t="s">
        <v>204</v>
      </c>
      <c r="C503" s="1" t="s">
        <v>9</v>
      </c>
      <c r="D503" s="1" t="s">
        <v>525</v>
      </c>
      <c r="E503" s="1" t="s">
        <v>29</v>
      </c>
      <c r="F503" s="1" t="s">
        <v>690</v>
      </c>
      <c r="G503" s="140">
        <v>3.7979000000000002E-4</v>
      </c>
      <c r="H503"/>
    </row>
    <row r="504" spans="1:8" x14ac:dyDescent="0.2">
      <c r="A504" s="1" t="s">
        <v>449</v>
      </c>
      <c r="B504" s="1" t="s">
        <v>204</v>
      </c>
      <c r="C504" s="1" t="s">
        <v>9</v>
      </c>
      <c r="D504" s="1" t="s">
        <v>528</v>
      </c>
      <c r="E504" s="1" t="s">
        <v>29</v>
      </c>
      <c r="F504" s="1" t="s">
        <v>65</v>
      </c>
      <c r="G504" s="140">
        <v>5.5440999999999997E-4</v>
      </c>
      <c r="H504"/>
    </row>
    <row r="505" spans="1:8" x14ac:dyDescent="0.2">
      <c r="A505" s="1" t="s">
        <v>450</v>
      </c>
      <c r="B505" s="1" t="s">
        <v>204</v>
      </c>
      <c r="C505" s="1" t="s">
        <v>9</v>
      </c>
      <c r="D505" s="1" t="s">
        <v>11</v>
      </c>
      <c r="E505" s="1" t="s">
        <v>29</v>
      </c>
      <c r="F505" s="1" t="s">
        <v>21</v>
      </c>
      <c r="G505" s="140">
        <v>0.83932704000000002</v>
      </c>
      <c r="H505"/>
    </row>
    <row r="506" spans="1:8" x14ac:dyDescent="0.2">
      <c r="A506" s="1" t="s">
        <v>451</v>
      </c>
      <c r="B506" s="1" t="s">
        <v>204</v>
      </c>
      <c r="C506" s="1" t="s">
        <v>9</v>
      </c>
      <c r="D506" s="1" t="s">
        <v>531</v>
      </c>
      <c r="E506" s="1" t="s">
        <v>29</v>
      </c>
      <c r="F506" s="1" t="s">
        <v>640</v>
      </c>
      <c r="G506" s="140">
        <v>4.6020000000000003E-5</v>
      </c>
      <c r="H506"/>
    </row>
    <row r="507" spans="1:8" x14ac:dyDescent="0.2">
      <c r="A507" s="1" t="s">
        <v>1233</v>
      </c>
      <c r="B507" s="1" t="s">
        <v>204</v>
      </c>
      <c r="C507" s="1" t="s">
        <v>9</v>
      </c>
      <c r="D507" s="1" t="s">
        <v>1231</v>
      </c>
      <c r="E507" s="1" t="s">
        <v>29</v>
      </c>
      <c r="F507" s="1" t="s">
        <v>1232</v>
      </c>
      <c r="G507" s="140">
        <v>1.5075799999999999E-3</v>
      </c>
      <c r="H507"/>
    </row>
    <row r="508" spans="1:8" x14ac:dyDescent="0.2">
      <c r="A508" s="1" t="s">
        <v>452</v>
      </c>
      <c r="B508" s="1" t="s">
        <v>204</v>
      </c>
      <c r="C508" s="1" t="s">
        <v>9</v>
      </c>
      <c r="D508" s="1" t="s">
        <v>112</v>
      </c>
      <c r="E508" s="1" t="s">
        <v>29</v>
      </c>
      <c r="F508" s="1" t="s">
        <v>111</v>
      </c>
      <c r="G508" s="140">
        <v>1.3038000000000001E-4</v>
      </c>
      <c r="H508"/>
    </row>
    <row r="509" spans="1:8" x14ac:dyDescent="0.2">
      <c r="A509" s="1" t="s">
        <v>453</v>
      </c>
      <c r="B509" s="1" t="s">
        <v>204</v>
      </c>
      <c r="C509" s="1" t="s">
        <v>9</v>
      </c>
      <c r="D509" s="1" t="s">
        <v>232</v>
      </c>
      <c r="E509" s="1" t="s">
        <v>29</v>
      </c>
      <c r="F509" s="1" t="s">
        <v>233</v>
      </c>
      <c r="G509" s="140">
        <v>3.8615799999999999E-3</v>
      </c>
      <c r="H509"/>
    </row>
    <row r="510" spans="1:8" x14ac:dyDescent="0.2">
      <c r="A510" s="1" t="s">
        <v>454</v>
      </c>
      <c r="B510" s="1" t="s">
        <v>204</v>
      </c>
      <c r="C510" s="1" t="s">
        <v>9</v>
      </c>
      <c r="D510" s="1" t="s">
        <v>35</v>
      </c>
      <c r="E510" s="1" t="s">
        <v>29</v>
      </c>
      <c r="F510" s="1" t="s">
        <v>34</v>
      </c>
      <c r="G510" s="140">
        <v>3.8559999999999997E-2</v>
      </c>
      <c r="H510"/>
    </row>
    <row r="511" spans="1:8" x14ac:dyDescent="0.2">
      <c r="A511" s="1" t="s">
        <v>455</v>
      </c>
      <c r="B511" s="1" t="s">
        <v>204</v>
      </c>
      <c r="C511" s="1" t="s">
        <v>9</v>
      </c>
      <c r="D511" s="1" t="s">
        <v>547</v>
      </c>
      <c r="E511" s="1" t="s">
        <v>29</v>
      </c>
      <c r="F511" s="1" t="s">
        <v>63</v>
      </c>
      <c r="G511" s="140">
        <v>4.9875000000000003E-2</v>
      </c>
      <c r="H511"/>
    </row>
    <row r="512" spans="1:8" x14ac:dyDescent="0.2">
      <c r="A512" s="1" t="s">
        <v>456</v>
      </c>
      <c r="B512" s="1" t="s">
        <v>204</v>
      </c>
      <c r="C512" s="1" t="s">
        <v>9</v>
      </c>
      <c r="D512" s="1" t="s">
        <v>556</v>
      </c>
      <c r="E512" s="1" t="s">
        <v>29</v>
      </c>
      <c r="F512" s="1" t="s">
        <v>70</v>
      </c>
      <c r="G512" s="140">
        <v>0.14251897999999999</v>
      </c>
      <c r="H512"/>
    </row>
    <row r="513" spans="1:8" x14ac:dyDescent="0.2">
      <c r="A513" s="1" t="s">
        <v>457</v>
      </c>
      <c r="B513" s="1" t="s">
        <v>204</v>
      </c>
      <c r="C513" s="1" t="s">
        <v>9</v>
      </c>
      <c r="D513" s="1" t="s">
        <v>557</v>
      </c>
      <c r="E513" s="1" t="s">
        <v>29</v>
      </c>
      <c r="F513" s="1" t="s">
        <v>51</v>
      </c>
      <c r="G513" s="140">
        <v>5.4995E-4</v>
      </c>
      <c r="H513"/>
    </row>
    <row r="514" spans="1:8" x14ac:dyDescent="0.2">
      <c r="A514" s="1" t="s">
        <v>458</v>
      </c>
      <c r="B514" s="1" t="s">
        <v>204</v>
      </c>
      <c r="C514" s="1" t="s">
        <v>9</v>
      </c>
      <c r="D514" s="1" t="s">
        <v>560</v>
      </c>
      <c r="E514" s="1" t="s">
        <v>29</v>
      </c>
      <c r="F514" s="1" t="s">
        <v>698</v>
      </c>
      <c r="G514" s="140">
        <v>4.1035000000000003E-4</v>
      </c>
      <c r="H514"/>
    </row>
    <row r="515" spans="1:8" x14ac:dyDescent="0.2">
      <c r="A515" s="1" t="s">
        <v>459</v>
      </c>
      <c r="B515" s="1" t="s">
        <v>204</v>
      </c>
      <c r="C515" s="1" t="s">
        <v>9</v>
      </c>
      <c r="D515" s="1" t="s">
        <v>561</v>
      </c>
      <c r="E515" s="1" t="s">
        <v>29</v>
      </c>
      <c r="F515" s="1" t="s">
        <v>114</v>
      </c>
      <c r="G515" s="140">
        <v>2.9990000000000003E-4</v>
      </c>
      <c r="H515"/>
    </row>
    <row r="516" spans="1:8" x14ac:dyDescent="0.2">
      <c r="A516" s="1" t="s">
        <v>460</v>
      </c>
      <c r="B516" s="1" t="s">
        <v>204</v>
      </c>
      <c r="C516" s="1" t="s">
        <v>9</v>
      </c>
      <c r="D516" s="1" t="s">
        <v>568</v>
      </c>
      <c r="E516" s="1" t="s">
        <v>29</v>
      </c>
      <c r="F516" s="1" t="s">
        <v>701</v>
      </c>
      <c r="G516" s="140">
        <v>9.5821000000000003E-4</v>
      </c>
      <c r="H516"/>
    </row>
    <row r="517" spans="1:8" x14ac:dyDescent="0.2">
      <c r="A517" s="1" t="s">
        <v>1201</v>
      </c>
      <c r="B517" s="1" t="s">
        <v>204</v>
      </c>
      <c r="C517" s="1" t="s">
        <v>9</v>
      </c>
      <c r="D517" s="1" t="s">
        <v>934</v>
      </c>
      <c r="E517" s="1" t="s">
        <v>29</v>
      </c>
      <c r="F517" s="1" t="s">
        <v>935</v>
      </c>
      <c r="G517" s="140">
        <v>9.9212999999999992E-4</v>
      </c>
      <c r="H517"/>
    </row>
    <row r="518" spans="1:8" x14ac:dyDescent="0.2">
      <c r="A518" s="1" t="s">
        <v>461</v>
      </c>
      <c r="B518" s="1" t="s">
        <v>204</v>
      </c>
      <c r="C518" s="1" t="s">
        <v>9</v>
      </c>
      <c r="D518" s="1" t="s">
        <v>13</v>
      </c>
      <c r="E518" s="1" t="s">
        <v>29</v>
      </c>
      <c r="F518" s="1" t="s">
        <v>23</v>
      </c>
      <c r="G518" s="140">
        <v>0.29888520000000002</v>
      </c>
      <c r="H518"/>
    </row>
    <row r="519" spans="1:8" x14ac:dyDescent="0.2">
      <c r="A519" s="1" t="s">
        <v>462</v>
      </c>
      <c r="B519" s="1" t="s">
        <v>204</v>
      </c>
      <c r="C519" s="1" t="s">
        <v>9</v>
      </c>
      <c r="D519" s="1" t="s">
        <v>570</v>
      </c>
      <c r="E519" s="1" t="s">
        <v>29</v>
      </c>
      <c r="F519" s="1" t="s">
        <v>118</v>
      </c>
      <c r="G519" s="140">
        <v>1.9457430000000001E-2</v>
      </c>
      <c r="H519"/>
    </row>
    <row r="520" spans="1:8" x14ac:dyDescent="0.2">
      <c r="A520" s="1" t="s">
        <v>463</v>
      </c>
      <c r="B520" s="1" t="s">
        <v>204</v>
      </c>
      <c r="C520" s="1" t="s">
        <v>9</v>
      </c>
      <c r="D520" s="1" t="s">
        <v>182</v>
      </c>
      <c r="E520" s="1" t="s">
        <v>29</v>
      </c>
      <c r="F520" s="1" t="s">
        <v>181</v>
      </c>
      <c r="G520" s="140">
        <v>1.7443999999999999E-4</v>
      </c>
      <c r="H520"/>
    </row>
    <row r="521" spans="1:8" x14ac:dyDescent="0.2">
      <c r="A521" s="1" t="s">
        <v>464</v>
      </c>
      <c r="B521" s="1" t="s">
        <v>204</v>
      </c>
      <c r="C521" s="1" t="s">
        <v>9</v>
      </c>
      <c r="D521" s="1" t="s">
        <v>6</v>
      </c>
      <c r="E521" s="1" t="s">
        <v>29</v>
      </c>
      <c r="F521" s="1" t="s">
        <v>77</v>
      </c>
      <c r="G521" s="140">
        <v>1.1804129999999999E-2</v>
      </c>
      <c r="H521"/>
    </row>
    <row r="522" spans="1:8" x14ac:dyDescent="0.2">
      <c r="A522" s="1" t="s">
        <v>465</v>
      </c>
      <c r="B522" s="1" t="s">
        <v>204</v>
      </c>
      <c r="C522" s="1" t="s">
        <v>9</v>
      </c>
      <c r="D522" s="1" t="s">
        <v>14</v>
      </c>
      <c r="E522" s="1" t="s">
        <v>29</v>
      </c>
      <c r="F522" s="1" t="s">
        <v>14</v>
      </c>
      <c r="G522" s="140">
        <v>0.13460448999999999</v>
      </c>
      <c r="H522"/>
    </row>
    <row r="523" spans="1:8" x14ac:dyDescent="0.2">
      <c r="A523" s="1" t="s">
        <v>466</v>
      </c>
      <c r="B523" s="1" t="s">
        <v>204</v>
      </c>
      <c r="C523" s="1" t="s">
        <v>9</v>
      </c>
      <c r="D523" s="1" t="s">
        <v>581</v>
      </c>
      <c r="E523" s="1" t="s">
        <v>29</v>
      </c>
      <c r="F523" s="1" t="s">
        <v>116</v>
      </c>
      <c r="G523" s="140">
        <v>2.7799999999999998E-2</v>
      </c>
      <c r="H523"/>
    </row>
    <row r="524" spans="1:8" x14ac:dyDescent="0.2">
      <c r="A524" s="1" t="s">
        <v>467</v>
      </c>
      <c r="B524" s="1" t="s">
        <v>204</v>
      </c>
      <c r="C524" s="1" t="s">
        <v>9</v>
      </c>
      <c r="D524" s="1" t="s">
        <v>15</v>
      </c>
      <c r="E524" s="1" t="s">
        <v>29</v>
      </c>
      <c r="F524" s="1" t="s">
        <v>24</v>
      </c>
      <c r="G524" s="140">
        <v>2.143165E-2</v>
      </c>
      <c r="H524"/>
    </row>
    <row r="525" spans="1:8" x14ac:dyDescent="0.2">
      <c r="A525" s="1" t="s">
        <v>468</v>
      </c>
      <c r="B525" s="1" t="s">
        <v>204</v>
      </c>
      <c r="C525" s="1" t="s">
        <v>9</v>
      </c>
      <c r="D525" s="1" t="s">
        <v>586</v>
      </c>
      <c r="E525" s="1" t="s">
        <v>29</v>
      </c>
      <c r="F525" s="1" t="s">
        <v>706</v>
      </c>
      <c r="G525" s="140">
        <v>2.3526200000000001E-3</v>
      </c>
      <c r="H525"/>
    </row>
    <row r="526" spans="1:8" x14ac:dyDescent="0.2">
      <c r="A526" s="1" t="s">
        <v>469</v>
      </c>
      <c r="B526" s="1" t="s">
        <v>204</v>
      </c>
      <c r="C526" s="1" t="s">
        <v>9</v>
      </c>
      <c r="D526" s="1" t="s">
        <v>221</v>
      </c>
      <c r="E526" s="1" t="s">
        <v>29</v>
      </c>
      <c r="F526" s="1" t="s">
        <v>649</v>
      </c>
      <c r="G526" s="140">
        <v>7.2995999999999998E-4</v>
      </c>
      <c r="H526"/>
    </row>
    <row r="527" spans="1:8" x14ac:dyDescent="0.2">
      <c r="A527" s="1" t="s">
        <v>470</v>
      </c>
      <c r="B527" s="1" t="s">
        <v>204</v>
      </c>
      <c r="C527" s="1" t="s">
        <v>9</v>
      </c>
      <c r="D527" s="1" t="s">
        <v>593</v>
      </c>
      <c r="E527" s="1" t="s">
        <v>29</v>
      </c>
      <c r="F527" s="1" t="s">
        <v>101</v>
      </c>
      <c r="G527" s="140">
        <v>2.6103999999999998E-4</v>
      </c>
      <c r="H527"/>
    </row>
    <row r="528" spans="1:8" x14ac:dyDescent="0.2">
      <c r="A528" s="1" t="s">
        <v>471</v>
      </c>
      <c r="B528" s="1" t="s">
        <v>204</v>
      </c>
      <c r="C528" s="1" t="s">
        <v>9</v>
      </c>
      <c r="D528" s="1" t="s">
        <v>594</v>
      </c>
      <c r="E528" s="1" t="s">
        <v>29</v>
      </c>
      <c r="F528" s="1" t="s">
        <v>103</v>
      </c>
      <c r="G528" s="140">
        <v>2.2996800000000001E-3</v>
      </c>
      <c r="H528"/>
    </row>
    <row r="529" spans="1:8" x14ac:dyDescent="0.2">
      <c r="A529" s="1" t="s">
        <v>472</v>
      </c>
      <c r="B529" s="1" t="s">
        <v>204</v>
      </c>
      <c r="C529" s="1" t="s">
        <v>9</v>
      </c>
      <c r="D529" s="1" t="s">
        <v>39</v>
      </c>
      <c r="E529" s="1" t="s">
        <v>29</v>
      </c>
      <c r="F529" s="1" t="s">
        <v>38</v>
      </c>
      <c r="G529" s="140">
        <v>3.6541949999999997E-2</v>
      </c>
      <c r="H529"/>
    </row>
    <row r="530" spans="1:8" x14ac:dyDescent="0.2">
      <c r="A530" s="1" t="s">
        <v>473</v>
      </c>
      <c r="B530" s="1" t="s">
        <v>204</v>
      </c>
      <c r="C530" s="1" t="s">
        <v>9</v>
      </c>
      <c r="D530" s="1" t="s">
        <v>187</v>
      </c>
      <c r="E530" s="1" t="s">
        <v>29</v>
      </c>
      <c r="F530" s="1" t="s">
        <v>215</v>
      </c>
      <c r="G530" s="140">
        <v>2.0995000000000001E-4</v>
      </c>
      <c r="H530"/>
    </row>
    <row r="531" spans="1:8" x14ac:dyDescent="0.2">
      <c r="A531" s="1" t="s">
        <v>474</v>
      </c>
      <c r="B531" s="1" t="s">
        <v>204</v>
      </c>
      <c r="C531" s="1" t="s">
        <v>9</v>
      </c>
      <c r="D531" s="1" t="s">
        <v>599</v>
      </c>
      <c r="E531" s="1" t="s">
        <v>29</v>
      </c>
      <c r="F531" s="1" t="s">
        <v>56</v>
      </c>
      <c r="G531" s="140">
        <v>6.9000000000000006E-2</v>
      </c>
      <c r="H531"/>
    </row>
    <row r="532" spans="1:8" x14ac:dyDescent="0.2">
      <c r="A532" s="1" t="s">
        <v>475</v>
      </c>
      <c r="B532" s="1" t="s">
        <v>204</v>
      </c>
      <c r="C532" s="1" t="s">
        <v>9</v>
      </c>
      <c r="D532" s="1" t="s">
        <v>600</v>
      </c>
      <c r="E532" s="1" t="s">
        <v>29</v>
      </c>
      <c r="F532" s="1" t="s">
        <v>669</v>
      </c>
      <c r="G532" s="140">
        <v>2.1092300000000001E-3</v>
      </c>
      <c r="H532"/>
    </row>
    <row r="533" spans="1:8" x14ac:dyDescent="0.2">
      <c r="A533" s="1" t="s">
        <v>476</v>
      </c>
      <c r="B533" s="1" t="s">
        <v>204</v>
      </c>
      <c r="C533" s="1" t="s">
        <v>9</v>
      </c>
      <c r="D533" s="1" t="s">
        <v>194</v>
      </c>
      <c r="E533" s="1" t="s">
        <v>29</v>
      </c>
      <c r="F533" s="1" t="s">
        <v>194</v>
      </c>
      <c r="G533" s="140">
        <v>5.3749999999999996E-3</v>
      </c>
      <c r="H533"/>
    </row>
    <row r="534" spans="1:8" x14ac:dyDescent="0.2">
      <c r="A534" s="1" t="s">
        <v>477</v>
      </c>
      <c r="B534" s="1" t="s">
        <v>204</v>
      </c>
      <c r="C534" s="1" t="s">
        <v>9</v>
      </c>
      <c r="D534" s="1" t="s">
        <v>601</v>
      </c>
      <c r="E534" s="1" t="s">
        <v>29</v>
      </c>
      <c r="F534" s="1" t="s">
        <v>64</v>
      </c>
      <c r="G534" s="140">
        <v>2.7860000000000001E-5</v>
      </c>
      <c r="H534"/>
    </row>
    <row r="535" spans="1:8" x14ac:dyDescent="0.2">
      <c r="A535" s="1" t="s">
        <v>478</v>
      </c>
      <c r="B535" s="1" t="s">
        <v>204</v>
      </c>
      <c r="C535" s="1" t="s">
        <v>9</v>
      </c>
      <c r="D535" s="1" t="s">
        <v>78</v>
      </c>
      <c r="E535" s="1" t="s">
        <v>29</v>
      </c>
      <c r="F535" s="1" t="s">
        <v>650</v>
      </c>
      <c r="G535" s="140">
        <v>2.23E-4</v>
      </c>
      <c r="H535"/>
    </row>
    <row r="536" spans="1:8" x14ac:dyDescent="0.2">
      <c r="A536" s="1" t="s">
        <v>1137</v>
      </c>
      <c r="B536" s="1" t="s">
        <v>204</v>
      </c>
      <c r="C536" s="1" t="s">
        <v>9</v>
      </c>
      <c r="D536" s="1" t="s">
        <v>1135</v>
      </c>
      <c r="E536" s="1" t="s">
        <v>29</v>
      </c>
      <c r="F536" s="1" t="s">
        <v>1136</v>
      </c>
      <c r="G536" s="140">
        <v>6.2E-4</v>
      </c>
      <c r="H536"/>
    </row>
    <row r="537" spans="1:8" x14ac:dyDescent="0.2">
      <c r="A537" s="1" t="s">
        <v>479</v>
      </c>
      <c r="B537" s="1" t="s">
        <v>204</v>
      </c>
      <c r="C537" s="1" t="s">
        <v>9</v>
      </c>
      <c r="D537" s="1" t="s">
        <v>88</v>
      </c>
      <c r="E537" s="1" t="s">
        <v>29</v>
      </c>
      <c r="F537" s="1" t="s">
        <v>87</v>
      </c>
      <c r="G537" s="140">
        <v>1.68173E-3</v>
      </c>
      <c r="H537"/>
    </row>
    <row r="538" spans="1:8" x14ac:dyDescent="0.2">
      <c r="A538" s="1" t="s">
        <v>480</v>
      </c>
      <c r="B538" s="1" t="s">
        <v>204</v>
      </c>
      <c r="C538" s="1" t="s">
        <v>9</v>
      </c>
      <c r="D538" s="1" t="s">
        <v>46</v>
      </c>
      <c r="E538" s="1" t="s">
        <v>29</v>
      </c>
      <c r="F538" s="1" t="s">
        <v>45</v>
      </c>
      <c r="G538" s="140">
        <v>9.7500099999999999E-3</v>
      </c>
      <c r="H538"/>
    </row>
    <row r="539" spans="1:8" x14ac:dyDescent="0.2">
      <c r="A539" s="1" t="s">
        <v>481</v>
      </c>
      <c r="B539" s="1" t="s">
        <v>204</v>
      </c>
      <c r="C539" s="1" t="s">
        <v>9</v>
      </c>
      <c r="D539" s="1" t="s">
        <v>616</v>
      </c>
      <c r="E539" s="1" t="s">
        <v>29</v>
      </c>
      <c r="F539" s="1" t="s">
        <v>145</v>
      </c>
      <c r="G539" s="140">
        <v>6.6441999999999998E-4</v>
      </c>
      <c r="H539"/>
    </row>
    <row r="540" spans="1:8" x14ac:dyDescent="0.2">
      <c r="A540" s="1" t="s">
        <v>482</v>
      </c>
      <c r="B540" s="1" t="s">
        <v>204</v>
      </c>
      <c r="C540" s="1" t="s">
        <v>9</v>
      </c>
      <c r="D540" s="1" t="s">
        <v>618</v>
      </c>
      <c r="E540" s="1" t="s">
        <v>29</v>
      </c>
      <c r="F540" s="1" t="s">
        <v>713</v>
      </c>
      <c r="G540" s="140">
        <v>4.0399000000000001E-4</v>
      </c>
      <c r="H540"/>
    </row>
    <row r="541" spans="1:8" x14ac:dyDescent="0.2">
      <c r="A541" s="1" t="s">
        <v>1202</v>
      </c>
      <c r="B541" s="1" t="s">
        <v>204</v>
      </c>
      <c r="C541" s="1" t="s">
        <v>9</v>
      </c>
      <c r="D541" s="1" t="s">
        <v>185</v>
      </c>
      <c r="E541" s="1" t="s">
        <v>29</v>
      </c>
      <c r="F541" s="1" t="s">
        <v>997</v>
      </c>
      <c r="G541" s="140">
        <v>1.1333E-4</v>
      </c>
      <c r="H541"/>
    </row>
    <row r="542" spans="1:8" x14ac:dyDescent="0.2">
      <c r="A542" s="1" t="s">
        <v>1213</v>
      </c>
      <c r="B542" s="1" t="s">
        <v>204</v>
      </c>
      <c r="C542" s="1" t="s">
        <v>9</v>
      </c>
      <c r="D542" s="1" t="s">
        <v>1199</v>
      </c>
      <c r="E542" s="1" t="s">
        <v>29</v>
      </c>
      <c r="F542" s="1" t="s">
        <v>1200</v>
      </c>
      <c r="G542" s="140">
        <v>2.7073399999999999E-3</v>
      </c>
      <c r="H542"/>
    </row>
    <row r="543" spans="1:8" x14ac:dyDescent="0.2">
      <c r="A543" s="1" t="s">
        <v>662</v>
      </c>
      <c r="B543" s="1" t="s">
        <v>204</v>
      </c>
      <c r="C543" s="1" t="s">
        <v>9</v>
      </c>
      <c r="D543" s="1" t="s">
        <v>661</v>
      </c>
      <c r="E543" s="1" t="s">
        <v>29</v>
      </c>
      <c r="F543" s="1" t="s">
        <v>714</v>
      </c>
      <c r="G543" s="140">
        <v>3.9063999999999999E-4</v>
      </c>
      <c r="H543"/>
    </row>
    <row r="544" spans="1:8" x14ac:dyDescent="0.2">
      <c r="A544" s="1" t="s">
        <v>1220</v>
      </c>
      <c r="B544" s="1" t="s">
        <v>204</v>
      </c>
      <c r="C544" s="1" t="s">
        <v>9</v>
      </c>
      <c r="D544" s="1" t="s">
        <v>1218</v>
      </c>
      <c r="E544" s="1" t="s">
        <v>29</v>
      </c>
      <c r="F544" s="1" t="s">
        <v>1219</v>
      </c>
      <c r="G544" s="140">
        <v>3.3003999999999998E-4</v>
      </c>
      <c r="H544"/>
    </row>
    <row r="545" spans="1:8" x14ac:dyDescent="0.2">
      <c r="A545" s="1" t="s">
        <v>1147</v>
      </c>
      <c r="B545" s="1" t="s">
        <v>204</v>
      </c>
      <c r="C545" s="1" t="s">
        <v>9</v>
      </c>
      <c r="D545" s="1" t="s">
        <v>1145</v>
      </c>
      <c r="E545" s="1" t="s">
        <v>29</v>
      </c>
      <c r="F545" s="1" t="s">
        <v>1146</v>
      </c>
      <c r="G545" s="140">
        <v>7.3100000000000001E-5</v>
      </c>
      <c r="H545"/>
    </row>
    <row r="546" spans="1:8" x14ac:dyDescent="0.2">
      <c r="A546" s="1" t="s">
        <v>483</v>
      </c>
      <c r="B546" s="1" t="s">
        <v>204</v>
      </c>
      <c r="C546" s="1" t="s">
        <v>9</v>
      </c>
      <c r="D546" s="1" t="s">
        <v>198</v>
      </c>
      <c r="E546" s="1" t="s">
        <v>29</v>
      </c>
      <c r="F546" s="1" t="s">
        <v>199</v>
      </c>
      <c r="G546" s="140">
        <v>3.0006E-4</v>
      </c>
      <c r="H546"/>
    </row>
    <row r="547" spans="1:8" x14ac:dyDescent="0.2">
      <c r="A547" s="1" t="s">
        <v>484</v>
      </c>
      <c r="B547" s="1" t="s">
        <v>204</v>
      </c>
      <c r="C547" s="1" t="s">
        <v>9</v>
      </c>
      <c r="D547" s="1" t="s">
        <v>44</v>
      </c>
      <c r="E547" s="1" t="s">
        <v>29</v>
      </c>
      <c r="F547" s="1" t="s">
        <v>43</v>
      </c>
      <c r="G547" s="140">
        <v>9.4536499999999992E-3</v>
      </c>
      <c r="H547"/>
    </row>
    <row r="548" spans="1:8" x14ac:dyDescent="0.2">
      <c r="A548" s="1" t="s">
        <v>1141</v>
      </c>
      <c r="B548" s="1" t="s">
        <v>204</v>
      </c>
      <c r="C548" s="1" t="s">
        <v>9</v>
      </c>
      <c r="D548" s="1" t="s">
        <v>1140</v>
      </c>
      <c r="E548" s="1" t="s">
        <v>29</v>
      </c>
      <c r="F548" s="1" t="s">
        <v>1140</v>
      </c>
      <c r="G548" s="140">
        <v>3.7500000000000001E-4</v>
      </c>
      <c r="H548"/>
    </row>
    <row r="549" spans="1:8" x14ac:dyDescent="0.2">
      <c r="A549" s="1" t="s">
        <v>485</v>
      </c>
      <c r="B549" s="1" t="s">
        <v>204</v>
      </c>
      <c r="C549" s="1" t="s">
        <v>9</v>
      </c>
      <c r="D549" s="1" t="s">
        <v>627</v>
      </c>
      <c r="E549" s="1" t="s">
        <v>29</v>
      </c>
      <c r="F549" s="1" t="s">
        <v>651</v>
      </c>
      <c r="G549" s="140">
        <v>9.6644999999999999E-4</v>
      </c>
      <c r="H549"/>
    </row>
    <row r="550" spans="1:8" x14ac:dyDescent="0.2">
      <c r="A550" s="1" t="s">
        <v>486</v>
      </c>
      <c r="B550" s="1" t="s">
        <v>204</v>
      </c>
      <c r="C550" s="1" t="s">
        <v>9</v>
      </c>
      <c r="D550" s="1" t="s">
        <v>631</v>
      </c>
      <c r="E550" s="1" t="s">
        <v>29</v>
      </c>
      <c r="F550" s="1" t="s">
        <v>646</v>
      </c>
      <c r="G550" s="140">
        <v>5.5977999999999996E-4</v>
      </c>
      <c r="H550"/>
    </row>
    <row r="551" spans="1:8" x14ac:dyDescent="0.2">
      <c r="A551" s="1" t="s">
        <v>487</v>
      </c>
      <c r="B551" s="1" t="s">
        <v>204</v>
      </c>
      <c r="C551" s="1" t="s">
        <v>9</v>
      </c>
      <c r="D551" s="1" t="s">
        <v>58</v>
      </c>
      <c r="E551" s="1" t="s">
        <v>29</v>
      </c>
      <c r="F551" s="1" t="s">
        <v>247</v>
      </c>
      <c r="G551" s="140">
        <v>4.8462000000000001E-4</v>
      </c>
      <c r="H551"/>
    </row>
    <row r="552" spans="1:8" x14ac:dyDescent="0.2">
      <c r="A552" s="1" t="s">
        <v>488</v>
      </c>
      <c r="B552" s="1" t="s">
        <v>204</v>
      </c>
      <c r="C552" s="1" t="s">
        <v>9</v>
      </c>
      <c r="D552" s="1" t="s">
        <v>33</v>
      </c>
      <c r="E552" s="1" t="s">
        <v>29</v>
      </c>
      <c r="F552" s="1" t="s">
        <v>32</v>
      </c>
      <c r="G552" s="140">
        <v>0.44388884000000001</v>
      </c>
      <c r="H552"/>
    </row>
    <row r="553" spans="1:8" x14ac:dyDescent="0.2">
      <c r="A553" s="1" t="s">
        <v>489</v>
      </c>
      <c r="B553" s="1" t="s">
        <v>204</v>
      </c>
      <c r="C553" s="1" t="s">
        <v>9</v>
      </c>
      <c r="D553" s="1" t="s">
        <v>27</v>
      </c>
      <c r="E553" s="1" t="s">
        <v>29</v>
      </c>
      <c r="F553" s="1" t="s">
        <v>28</v>
      </c>
      <c r="G553" s="140">
        <v>1.3020499999999999E-3</v>
      </c>
      <c r="H553"/>
    </row>
    <row r="554" spans="1:8" x14ac:dyDescent="0.2">
      <c r="A554" s="1" t="s">
        <v>490</v>
      </c>
      <c r="B554" s="1" t="s">
        <v>204</v>
      </c>
      <c r="C554" s="1" t="s">
        <v>9</v>
      </c>
      <c r="D554" s="1" t="s">
        <v>16</v>
      </c>
      <c r="E554" s="1" t="s">
        <v>29</v>
      </c>
      <c r="F554" s="1" t="s">
        <v>40</v>
      </c>
      <c r="G554" s="140">
        <v>0.49025995999999999</v>
      </c>
      <c r="H554"/>
    </row>
    <row r="555" spans="1:8" x14ac:dyDescent="0.2">
      <c r="A555" s="1" t="s">
        <v>1143</v>
      </c>
      <c r="B555" s="1" t="s">
        <v>204</v>
      </c>
      <c r="C555" s="1" t="s">
        <v>9</v>
      </c>
      <c r="D555" s="1" t="s">
        <v>71</v>
      </c>
      <c r="E555" s="1" t="s">
        <v>29</v>
      </c>
      <c r="F555" s="1" t="s">
        <v>647</v>
      </c>
      <c r="G555" s="140">
        <v>1.32416E-3</v>
      </c>
      <c r="H555"/>
    </row>
    <row r="556" spans="1:8" x14ac:dyDescent="0.2">
      <c r="A556" s="1" t="s">
        <v>657</v>
      </c>
      <c r="B556" s="1" t="s">
        <v>204</v>
      </c>
      <c r="C556" s="1" t="s">
        <v>42</v>
      </c>
      <c r="D556" s="1" t="s">
        <v>195</v>
      </c>
      <c r="E556" s="1" t="s">
        <v>41</v>
      </c>
      <c r="F556" s="1" t="s">
        <v>648</v>
      </c>
      <c r="G556" s="140">
        <v>0.13819993999999999</v>
      </c>
      <c r="H556"/>
    </row>
    <row r="557" spans="1:8" x14ac:dyDescent="0.2">
      <c r="A557" s="1" t="s">
        <v>1167</v>
      </c>
      <c r="B557" s="1" t="s">
        <v>204</v>
      </c>
      <c r="C557" s="1" t="s">
        <v>42</v>
      </c>
      <c r="D557" s="1" t="s">
        <v>30</v>
      </c>
      <c r="E557" s="1" t="s">
        <v>41</v>
      </c>
      <c r="F557" s="1" t="s">
        <v>19</v>
      </c>
      <c r="G557" s="140">
        <v>716.32400098999994</v>
      </c>
      <c r="H557"/>
    </row>
    <row r="558" spans="1:8" x14ac:dyDescent="0.2">
      <c r="A558" s="1" t="s">
        <v>491</v>
      </c>
      <c r="B558" s="1" t="s">
        <v>204</v>
      </c>
      <c r="C558" s="1" t="s">
        <v>42</v>
      </c>
      <c r="D558" s="1" t="s">
        <v>10</v>
      </c>
      <c r="E558" s="1" t="s">
        <v>41</v>
      </c>
      <c r="F558" s="1" t="s">
        <v>20</v>
      </c>
      <c r="G558" s="140">
        <v>6899.6139330300002</v>
      </c>
      <c r="H558"/>
    </row>
    <row r="559" spans="1:8" x14ac:dyDescent="0.2">
      <c r="A559" s="1" t="s">
        <v>492</v>
      </c>
      <c r="B559" s="1" t="s">
        <v>204</v>
      </c>
      <c r="C559" s="1" t="s">
        <v>42</v>
      </c>
      <c r="D559" s="1" t="s">
        <v>228</v>
      </c>
      <c r="E559" s="1" t="s">
        <v>41</v>
      </c>
      <c r="F559" s="1" t="s">
        <v>229</v>
      </c>
      <c r="G559" s="140">
        <v>43.7</v>
      </c>
      <c r="H559"/>
    </row>
    <row r="560" spans="1:8" x14ac:dyDescent="0.2">
      <c r="A560" s="1" t="s">
        <v>493</v>
      </c>
      <c r="B560" s="1" t="s">
        <v>204</v>
      </c>
      <c r="C560" s="1" t="s">
        <v>42</v>
      </c>
      <c r="D560" s="1" t="s">
        <v>11</v>
      </c>
      <c r="E560" s="1" t="s">
        <v>41</v>
      </c>
      <c r="F560" s="1" t="s">
        <v>21</v>
      </c>
      <c r="G560" s="140">
        <v>322.96698208999999</v>
      </c>
      <c r="H560"/>
    </row>
    <row r="561" spans="1:8" x14ac:dyDescent="0.2">
      <c r="A561" s="1" t="s">
        <v>494</v>
      </c>
      <c r="B561" s="1" t="s">
        <v>204</v>
      </c>
      <c r="C561" s="1" t="s">
        <v>42</v>
      </c>
      <c r="D561" s="1" t="s">
        <v>35</v>
      </c>
      <c r="E561" s="1" t="s">
        <v>41</v>
      </c>
      <c r="F561" s="1" t="s">
        <v>34</v>
      </c>
      <c r="G561" s="140">
        <v>14.59144583</v>
      </c>
      <c r="H561"/>
    </row>
    <row r="562" spans="1:8" x14ac:dyDescent="0.2">
      <c r="A562" s="1" t="s">
        <v>495</v>
      </c>
      <c r="B562" s="1" t="s">
        <v>204</v>
      </c>
      <c r="C562" s="1" t="s">
        <v>42</v>
      </c>
      <c r="D562" s="1" t="s">
        <v>9</v>
      </c>
      <c r="E562" s="1" t="s">
        <v>41</v>
      </c>
      <c r="F562" s="1" t="s">
        <v>29</v>
      </c>
      <c r="G562" s="140">
        <v>378</v>
      </c>
      <c r="H562"/>
    </row>
    <row r="563" spans="1:8" x14ac:dyDescent="0.2">
      <c r="A563" s="1" t="s">
        <v>496</v>
      </c>
      <c r="B563" s="1" t="s">
        <v>204</v>
      </c>
      <c r="C563" s="1" t="s">
        <v>42</v>
      </c>
      <c r="D563" s="1" t="s">
        <v>13</v>
      </c>
      <c r="E563" s="1" t="s">
        <v>41</v>
      </c>
      <c r="F563" s="1" t="s">
        <v>23</v>
      </c>
      <c r="G563" s="140">
        <v>112.78044989999999</v>
      </c>
      <c r="H563"/>
    </row>
    <row r="564" spans="1:8" x14ac:dyDescent="0.2">
      <c r="A564" s="1" t="s">
        <v>497</v>
      </c>
      <c r="B564" s="1" t="s">
        <v>204</v>
      </c>
      <c r="C564" s="1" t="s">
        <v>42</v>
      </c>
      <c r="D564" s="1" t="s">
        <v>14</v>
      </c>
      <c r="E564" s="1" t="s">
        <v>41</v>
      </c>
      <c r="F564" s="1" t="s">
        <v>14</v>
      </c>
      <c r="G564" s="140">
        <v>50.373791830000002</v>
      </c>
      <c r="H564"/>
    </row>
    <row r="565" spans="1:8" x14ac:dyDescent="0.2">
      <c r="A565" s="1" t="s">
        <v>658</v>
      </c>
      <c r="B565" s="1" t="s">
        <v>204</v>
      </c>
      <c r="C565" s="1" t="s">
        <v>42</v>
      </c>
      <c r="D565" s="1" t="s">
        <v>81</v>
      </c>
      <c r="E565" s="1" t="s">
        <v>41</v>
      </c>
      <c r="F565" s="1" t="s">
        <v>704</v>
      </c>
      <c r="G565" s="140">
        <v>0.11212421</v>
      </c>
      <c r="H565"/>
    </row>
    <row r="566" spans="1:8" x14ac:dyDescent="0.2">
      <c r="A566" s="1" t="s">
        <v>498</v>
      </c>
      <c r="B566" s="1" t="s">
        <v>204</v>
      </c>
      <c r="C566" s="1" t="s">
        <v>42</v>
      </c>
      <c r="D566" s="1" t="s">
        <v>15</v>
      </c>
      <c r="E566" s="1" t="s">
        <v>41</v>
      </c>
      <c r="F566" s="1" t="s">
        <v>24</v>
      </c>
      <c r="G566" s="140">
        <v>8.1574919999999995</v>
      </c>
      <c r="H566"/>
    </row>
    <row r="567" spans="1:8" x14ac:dyDescent="0.2">
      <c r="A567" s="1" t="s">
        <v>1241</v>
      </c>
      <c r="B567" s="1" t="s">
        <v>204</v>
      </c>
      <c r="C567" s="1" t="s">
        <v>42</v>
      </c>
      <c r="D567" s="1" t="s">
        <v>1199</v>
      </c>
      <c r="E567" s="1" t="s">
        <v>41</v>
      </c>
      <c r="F567" s="1" t="s">
        <v>1200</v>
      </c>
      <c r="G567" s="140">
        <v>1.0049999999999999</v>
      </c>
      <c r="H567"/>
    </row>
    <row r="568" spans="1:8" x14ac:dyDescent="0.2">
      <c r="A568" s="1" t="s">
        <v>499</v>
      </c>
      <c r="B568" s="1" t="s">
        <v>204</v>
      </c>
      <c r="C568" s="1" t="s">
        <v>42</v>
      </c>
      <c r="D568" s="1" t="s">
        <v>33</v>
      </c>
      <c r="E568" s="1" t="s">
        <v>41</v>
      </c>
      <c r="F568" s="1" t="s">
        <v>32</v>
      </c>
      <c r="G568" s="140">
        <v>165.79958848000001</v>
      </c>
      <c r="H568"/>
    </row>
    <row r="569" spans="1:8" x14ac:dyDescent="0.2">
      <c r="A569" s="1" t="s">
        <v>500</v>
      </c>
      <c r="B569" s="1" t="s">
        <v>204</v>
      </c>
      <c r="C569" s="1" t="s">
        <v>42</v>
      </c>
      <c r="D569" s="1" t="s">
        <v>27</v>
      </c>
      <c r="E569" s="1" t="s">
        <v>41</v>
      </c>
      <c r="F569" s="1" t="s">
        <v>28</v>
      </c>
      <c r="G569" s="140">
        <v>0.49099999999999999</v>
      </c>
      <c r="H569"/>
    </row>
    <row r="570" spans="1:8" x14ac:dyDescent="0.2">
      <c r="A570" s="1" t="s">
        <v>659</v>
      </c>
      <c r="B570" s="1" t="s">
        <v>204</v>
      </c>
      <c r="C570" s="1" t="s">
        <v>42</v>
      </c>
      <c r="D570" s="1" t="s">
        <v>80</v>
      </c>
      <c r="E570" s="1" t="s">
        <v>41</v>
      </c>
      <c r="F570" s="1" t="s">
        <v>79</v>
      </c>
      <c r="G570" s="140">
        <v>3.4704829999999999E-2</v>
      </c>
      <c r="H570"/>
    </row>
    <row r="571" spans="1:8" x14ac:dyDescent="0.2">
      <c r="A571" s="1" t="s">
        <v>501</v>
      </c>
      <c r="B571" s="1" t="s">
        <v>204</v>
      </c>
      <c r="C571" s="1" t="s">
        <v>42</v>
      </c>
      <c r="D571" s="1" t="s">
        <v>16</v>
      </c>
      <c r="E571" s="1" t="s">
        <v>41</v>
      </c>
      <c r="F571" s="1" t="s">
        <v>40</v>
      </c>
      <c r="G571" s="140">
        <v>183.53</v>
      </c>
      <c r="H571"/>
    </row>
    <row r="572" spans="1:8" x14ac:dyDescent="0.2">
      <c r="A572" s="1" t="s">
        <v>1154</v>
      </c>
      <c r="B572" s="1" t="s">
        <v>249</v>
      </c>
      <c r="C572" s="1" t="s">
        <v>10</v>
      </c>
      <c r="D572" s="1" t="s">
        <v>30</v>
      </c>
      <c r="E572" s="1" t="s">
        <v>20</v>
      </c>
      <c r="F572" s="1" t="s">
        <v>19</v>
      </c>
      <c r="G572" s="140">
        <v>0.10388</v>
      </c>
      <c r="H572"/>
    </row>
    <row r="573" spans="1:8" x14ac:dyDescent="0.2">
      <c r="A573" s="1" t="s">
        <v>1155</v>
      </c>
      <c r="B573" s="1" t="s">
        <v>249</v>
      </c>
      <c r="C573" s="1" t="s">
        <v>10</v>
      </c>
      <c r="D573" s="1" t="s">
        <v>9</v>
      </c>
      <c r="E573" s="1" t="s">
        <v>20</v>
      </c>
      <c r="F573" s="1" t="s">
        <v>29</v>
      </c>
      <c r="G573" s="140">
        <v>5.4760000000000003E-2</v>
      </c>
      <c r="H573"/>
    </row>
    <row r="574" spans="1:8" x14ac:dyDescent="0.2">
      <c r="A574" s="1" t="s">
        <v>1156</v>
      </c>
      <c r="B574" s="1" t="s">
        <v>249</v>
      </c>
      <c r="C574" s="1" t="s">
        <v>10</v>
      </c>
      <c r="D574" s="1" t="s">
        <v>13</v>
      </c>
      <c r="E574" s="1" t="s">
        <v>20</v>
      </c>
      <c r="F574" s="1" t="s">
        <v>23</v>
      </c>
      <c r="G574" s="140">
        <v>1.636E-2</v>
      </c>
      <c r="H574"/>
    </row>
    <row r="575" spans="1:8" x14ac:dyDescent="0.2">
      <c r="A575" s="1" t="s">
        <v>1157</v>
      </c>
      <c r="B575" s="1" t="s">
        <v>249</v>
      </c>
      <c r="C575" s="1" t="s">
        <v>225</v>
      </c>
      <c r="D575" s="1" t="s">
        <v>30</v>
      </c>
      <c r="E575" s="1" t="s">
        <v>248</v>
      </c>
      <c r="F575" s="1" t="s">
        <v>19</v>
      </c>
      <c r="G575" s="140">
        <v>713.42</v>
      </c>
      <c r="H575"/>
    </row>
    <row r="576" spans="1:8" x14ac:dyDescent="0.2">
      <c r="A576" s="1" t="s">
        <v>1158</v>
      </c>
      <c r="B576" s="1" t="s">
        <v>249</v>
      </c>
      <c r="C576" s="1" t="s">
        <v>225</v>
      </c>
      <c r="D576" s="1" t="s">
        <v>10</v>
      </c>
      <c r="E576" s="1" t="s">
        <v>248</v>
      </c>
      <c r="F576" s="1" t="s">
        <v>20</v>
      </c>
      <c r="G576" s="140">
        <v>6882.56</v>
      </c>
      <c r="H576"/>
    </row>
    <row r="577" spans="1:8" x14ac:dyDescent="0.2">
      <c r="A577" s="1" t="s">
        <v>1159</v>
      </c>
      <c r="B577" s="1" t="s">
        <v>249</v>
      </c>
      <c r="C577" s="1" t="s">
        <v>225</v>
      </c>
      <c r="D577" s="1" t="s">
        <v>9</v>
      </c>
      <c r="E577" s="1" t="s">
        <v>248</v>
      </c>
      <c r="F577" s="1" t="s">
        <v>29</v>
      </c>
      <c r="G577" s="140">
        <v>377.02</v>
      </c>
      <c r="H577"/>
    </row>
    <row r="578" spans="1:8" x14ac:dyDescent="0.2">
      <c r="A578" s="1" t="s">
        <v>1160</v>
      </c>
      <c r="B578" s="1" t="s">
        <v>249</v>
      </c>
      <c r="C578" s="1" t="s">
        <v>225</v>
      </c>
      <c r="D578" s="1" t="s">
        <v>13</v>
      </c>
      <c r="E578" s="1" t="s">
        <v>248</v>
      </c>
      <c r="F578" s="1" t="s">
        <v>23</v>
      </c>
      <c r="G578" s="140">
        <v>112.7</v>
      </c>
      <c r="H578"/>
    </row>
    <row r="579" spans="1:8" x14ac:dyDescent="0.2">
      <c r="A579" s="1" t="s">
        <v>502</v>
      </c>
      <c r="B579" s="1" t="s">
        <v>256</v>
      </c>
      <c r="C579" s="1" t="s">
        <v>225</v>
      </c>
      <c r="D579" s="1" t="s">
        <v>42</v>
      </c>
      <c r="E579" s="1"/>
      <c r="F579" s="1" t="s">
        <v>41</v>
      </c>
      <c r="G579" s="140">
        <v>0.99670274000000003</v>
      </c>
      <c r="H579"/>
    </row>
    <row r="580" spans="1:8" x14ac:dyDescent="0.2">
      <c r="H580"/>
    </row>
    <row r="581" spans="1:8" x14ac:dyDescent="0.2">
      <c r="H581"/>
    </row>
    <row r="582" spans="1:8" x14ac:dyDescent="0.2">
      <c r="H582"/>
    </row>
    <row r="583" spans="1:8" x14ac:dyDescent="0.2">
      <c r="H583"/>
    </row>
    <row r="584" spans="1:8" x14ac:dyDescent="0.2">
      <c r="H584"/>
    </row>
    <row r="585" spans="1:8" x14ac:dyDescent="0.2">
      <c r="H585"/>
    </row>
    <row r="586" spans="1:8" x14ac:dyDescent="0.2">
      <c r="H586"/>
    </row>
    <row r="587" spans="1:8" x14ac:dyDescent="0.2">
      <c r="H587"/>
    </row>
    <row r="588" spans="1:8" x14ac:dyDescent="0.2">
      <c r="H588"/>
    </row>
    <row r="589" spans="1:8" x14ac:dyDescent="0.2">
      <c r="H589"/>
    </row>
    <row r="590" spans="1:8" x14ac:dyDescent="0.2">
      <c r="H590"/>
    </row>
    <row r="591" spans="1:8" x14ac:dyDescent="0.2">
      <c r="H591"/>
    </row>
    <row r="592" spans="1:8" x14ac:dyDescent="0.2">
      <c r="H592"/>
    </row>
    <row r="593" spans="8:8" x14ac:dyDescent="0.2">
      <c r="H593"/>
    </row>
    <row r="594" spans="8:8" x14ac:dyDescent="0.2">
      <c r="H594"/>
    </row>
    <row r="595" spans="8:8" x14ac:dyDescent="0.2">
      <c r="H595"/>
    </row>
    <row r="596" spans="8:8" x14ac:dyDescent="0.2">
      <c r="H596"/>
    </row>
    <row r="597" spans="8:8" x14ac:dyDescent="0.2">
      <c r="H597"/>
    </row>
    <row r="598" spans="8:8" x14ac:dyDescent="0.2">
      <c r="H598"/>
    </row>
    <row r="599" spans="8:8" x14ac:dyDescent="0.2">
      <c r="H599"/>
    </row>
    <row r="600" spans="8:8" x14ac:dyDescent="0.2">
      <c r="H600"/>
    </row>
    <row r="601" spans="8:8" x14ac:dyDescent="0.2">
      <c r="H601"/>
    </row>
    <row r="602" spans="8:8" x14ac:dyDescent="0.2">
      <c r="H602"/>
    </row>
    <row r="603" spans="8:8" x14ac:dyDescent="0.2">
      <c r="H603"/>
    </row>
    <row r="604" spans="8:8" x14ac:dyDescent="0.2">
      <c r="H604"/>
    </row>
    <row r="605" spans="8:8" x14ac:dyDescent="0.2">
      <c r="H605"/>
    </row>
    <row r="606" spans="8:8" x14ac:dyDescent="0.2">
      <c r="H606"/>
    </row>
    <row r="607" spans="8:8" x14ac:dyDescent="0.2">
      <c r="H607"/>
    </row>
    <row r="608" spans="8:8" x14ac:dyDescent="0.2">
      <c r="H608"/>
    </row>
    <row r="609" spans="8:8" x14ac:dyDescent="0.2">
      <c r="H609"/>
    </row>
    <row r="610" spans="8:8" x14ac:dyDescent="0.2">
      <c r="H610"/>
    </row>
    <row r="611" spans="8:8" x14ac:dyDescent="0.2">
      <c r="H611"/>
    </row>
    <row r="612" spans="8:8" x14ac:dyDescent="0.2">
      <c r="H612"/>
    </row>
    <row r="613" spans="8:8" x14ac:dyDescent="0.2">
      <c r="H613"/>
    </row>
    <row r="614" spans="8:8" x14ac:dyDescent="0.2">
      <c r="H614"/>
    </row>
    <row r="615" spans="8:8" x14ac:dyDescent="0.2">
      <c r="H615"/>
    </row>
    <row r="616" spans="8:8" x14ac:dyDescent="0.2">
      <c r="H616"/>
    </row>
    <row r="617" spans="8:8" x14ac:dyDescent="0.2">
      <c r="H617"/>
    </row>
    <row r="618" spans="8:8" x14ac:dyDescent="0.2">
      <c r="H618"/>
    </row>
    <row r="619" spans="8:8" x14ac:dyDescent="0.2">
      <c r="H619"/>
    </row>
    <row r="620" spans="8:8" x14ac:dyDescent="0.2">
      <c r="H620"/>
    </row>
    <row r="621" spans="8:8" x14ac:dyDescent="0.2">
      <c r="H621"/>
    </row>
    <row r="622" spans="8:8" x14ac:dyDescent="0.2">
      <c r="H622"/>
    </row>
    <row r="623" spans="8:8" x14ac:dyDescent="0.2">
      <c r="H623"/>
    </row>
    <row r="624" spans="8:8" x14ac:dyDescent="0.2">
      <c r="H624"/>
    </row>
    <row r="625" spans="8:8" x14ac:dyDescent="0.2">
      <c r="H625"/>
    </row>
    <row r="626" spans="8:8" x14ac:dyDescent="0.2">
      <c r="H626"/>
    </row>
    <row r="627" spans="8:8" x14ac:dyDescent="0.2">
      <c r="H627"/>
    </row>
    <row r="628" spans="8:8" x14ac:dyDescent="0.2">
      <c r="H628"/>
    </row>
    <row r="629" spans="8:8" x14ac:dyDescent="0.2">
      <c r="H629"/>
    </row>
    <row r="630" spans="8:8" x14ac:dyDescent="0.2">
      <c r="H630"/>
    </row>
    <row r="631" spans="8:8" x14ac:dyDescent="0.2">
      <c r="H631"/>
    </row>
    <row r="632" spans="8:8" x14ac:dyDescent="0.2">
      <c r="H632"/>
    </row>
    <row r="633" spans="8:8" x14ac:dyDescent="0.2">
      <c r="H633"/>
    </row>
    <row r="634" spans="8:8" x14ac:dyDescent="0.2">
      <c r="H634"/>
    </row>
    <row r="635" spans="8:8" x14ac:dyDescent="0.2">
      <c r="H635"/>
    </row>
    <row r="636" spans="8:8" x14ac:dyDescent="0.2">
      <c r="H636"/>
    </row>
    <row r="637" spans="8:8" x14ac:dyDescent="0.2">
      <c r="H637"/>
    </row>
    <row r="638" spans="8:8" x14ac:dyDescent="0.2">
      <c r="H638"/>
    </row>
    <row r="639" spans="8:8" x14ac:dyDescent="0.2">
      <c r="H639"/>
    </row>
    <row r="640" spans="8:8" x14ac:dyDescent="0.2">
      <c r="H640"/>
    </row>
    <row r="641" spans="8:8" x14ac:dyDescent="0.2">
      <c r="H641"/>
    </row>
    <row r="642" spans="8:8" x14ac:dyDescent="0.2">
      <c r="H642"/>
    </row>
    <row r="643" spans="8:8" x14ac:dyDescent="0.2">
      <c r="H643"/>
    </row>
    <row r="644" spans="8:8" x14ac:dyDescent="0.2">
      <c r="H644"/>
    </row>
    <row r="645" spans="8:8" x14ac:dyDescent="0.2">
      <c r="H645"/>
    </row>
    <row r="646" spans="8:8" x14ac:dyDescent="0.2">
      <c r="H646"/>
    </row>
    <row r="647" spans="8:8" x14ac:dyDescent="0.2">
      <c r="H647"/>
    </row>
    <row r="648" spans="8:8" x14ac:dyDescent="0.2">
      <c r="H648"/>
    </row>
    <row r="649" spans="8:8" x14ac:dyDescent="0.2">
      <c r="H649"/>
    </row>
    <row r="650" spans="8:8" x14ac:dyDescent="0.2">
      <c r="H650"/>
    </row>
    <row r="651" spans="8:8" x14ac:dyDescent="0.2">
      <c r="H651"/>
    </row>
    <row r="652" spans="8:8" x14ac:dyDescent="0.2">
      <c r="H652"/>
    </row>
    <row r="653" spans="8:8" x14ac:dyDescent="0.2">
      <c r="H653"/>
    </row>
    <row r="654" spans="8:8" x14ac:dyDescent="0.2">
      <c r="H654"/>
    </row>
    <row r="655" spans="8:8" x14ac:dyDescent="0.2">
      <c r="H655"/>
    </row>
    <row r="656" spans="8:8" x14ac:dyDescent="0.2">
      <c r="H656"/>
    </row>
    <row r="657" spans="8:8" x14ac:dyDescent="0.2">
      <c r="H657"/>
    </row>
    <row r="658" spans="8:8" x14ac:dyDescent="0.2">
      <c r="H658"/>
    </row>
    <row r="659" spans="8:8" x14ac:dyDescent="0.2">
      <c r="H659"/>
    </row>
    <row r="660" spans="8:8" x14ac:dyDescent="0.2">
      <c r="H660"/>
    </row>
    <row r="661" spans="8:8" x14ac:dyDescent="0.2">
      <c r="H661"/>
    </row>
    <row r="662" spans="8:8" x14ac:dyDescent="0.2">
      <c r="H662"/>
    </row>
    <row r="663" spans="8:8" x14ac:dyDescent="0.2">
      <c r="H663"/>
    </row>
    <row r="664" spans="8:8" x14ac:dyDescent="0.2">
      <c r="H664"/>
    </row>
    <row r="665" spans="8:8" x14ac:dyDescent="0.2">
      <c r="H665"/>
    </row>
    <row r="666" spans="8:8" x14ac:dyDescent="0.2">
      <c r="H666"/>
    </row>
    <row r="667" spans="8:8" x14ac:dyDescent="0.2">
      <c r="H667"/>
    </row>
    <row r="668" spans="8:8" x14ac:dyDescent="0.2">
      <c r="H668"/>
    </row>
    <row r="669" spans="8:8" x14ac:dyDescent="0.2">
      <c r="H669"/>
    </row>
    <row r="670" spans="8:8" x14ac:dyDescent="0.2">
      <c r="H670"/>
    </row>
    <row r="671" spans="8:8" x14ac:dyDescent="0.2">
      <c r="H671"/>
    </row>
    <row r="672" spans="8:8" x14ac:dyDescent="0.2">
      <c r="H672"/>
    </row>
    <row r="673" spans="8:8" x14ac:dyDescent="0.2">
      <c r="H673"/>
    </row>
    <row r="674" spans="8:8" x14ac:dyDescent="0.2">
      <c r="H674"/>
    </row>
    <row r="675" spans="8:8" x14ac:dyDescent="0.2">
      <c r="H675"/>
    </row>
    <row r="676" spans="8:8" x14ac:dyDescent="0.2">
      <c r="H676"/>
    </row>
    <row r="677" spans="8:8" x14ac:dyDescent="0.2">
      <c r="H677"/>
    </row>
    <row r="678" spans="8:8" x14ac:dyDescent="0.2">
      <c r="H678"/>
    </row>
    <row r="679" spans="8:8" x14ac:dyDescent="0.2">
      <c r="H679"/>
    </row>
    <row r="680" spans="8:8" x14ac:dyDescent="0.2">
      <c r="H680"/>
    </row>
    <row r="681" spans="8:8" x14ac:dyDescent="0.2">
      <c r="H681"/>
    </row>
    <row r="682" spans="8:8" x14ac:dyDescent="0.2">
      <c r="H682"/>
    </row>
    <row r="683" spans="8:8" x14ac:dyDescent="0.2">
      <c r="H683"/>
    </row>
    <row r="684" spans="8:8" x14ac:dyDescent="0.2">
      <c r="H684"/>
    </row>
    <row r="685" spans="8:8" x14ac:dyDescent="0.2">
      <c r="H685"/>
    </row>
    <row r="686" spans="8:8" x14ac:dyDescent="0.2">
      <c r="H686"/>
    </row>
    <row r="687" spans="8:8" x14ac:dyDescent="0.2">
      <c r="H687"/>
    </row>
    <row r="688" spans="8:8" x14ac:dyDescent="0.2">
      <c r="H688"/>
    </row>
    <row r="689" spans="8:8" x14ac:dyDescent="0.2">
      <c r="H689"/>
    </row>
    <row r="690" spans="8:8" x14ac:dyDescent="0.2">
      <c r="H690"/>
    </row>
    <row r="691" spans="8:8" x14ac:dyDescent="0.2">
      <c r="H691"/>
    </row>
    <row r="692" spans="8:8" x14ac:dyDescent="0.2">
      <c r="H692"/>
    </row>
    <row r="693" spans="8:8" x14ac:dyDescent="0.2">
      <c r="H693"/>
    </row>
    <row r="694" spans="8:8" x14ac:dyDescent="0.2">
      <c r="H694"/>
    </row>
    <row r="695" spans="8:8" x14ac:dyDescent="0.2">
      <c r="H695"/>
    </row>
    <row r="696" spans="8:8" x14ac:dyDescent="0.2">
      <c r="H696"/>
    </row>
    <row r="697" spans="8:8" x14ac:dyDescent="0.2">
      <c r="H697"/>
    </row>
    <row r="698" spans="8:8" x14ac:dyDescent="0.2">
      <c r="H698"/>
    </row>
    <row r="699" spans="8:8" x14ac:dyDescent="0.2">
      <c r="H699"/>
    </row>
    <row r="700" spans="8:8" x14ac:dyDescent="0.2">
      <c r="H700"/>
    </row>
    <row r="701" spans="8:8" x14ac:dyDescent="0.2">
      <c r="H701"/>
    </row>
    <row r="702" spans="8:8" x14ac:dyDescent="0.2">
      <c r="H702"/>
    </row>
    <row r="703" spans="8:8" x14ac:dyDescent="0.2">
      <c r="H703"/>
    </row>
    <row r="704" spans="8:8" x14ac:dyDescent="0.2">
      <c r="H704"/>
    </row>
    <row r="705" spans="8:8" x14ac:dyDescent="0.2">
      <c r="H705"/>
    </row>
    <row r="706" spans="8:8" x14ac:dyDescent="0.2">
      <c r="H706"/>
    </row>
    <row r="707" spans="8:8" x14ac:dyDescent="0.2">
      <c r="H707"/>
    </row>
    <row r="708" spans="8:8" x14ac:dyDescent="0.2">
      <c r="H708"/>
    </row>
    <row r="709" spans="8:8" x14ac:dyDescent="0.2">
      <c r="H709"/>
    </row>
    <row r="710" spans="8:8" x14ac:dyDescent="0.2">
      <c r="H710"/>
    </row>
    <row r="711" spans="8:8" x14ac:dyDescent="0.2">
      <c r="H711"/>
    </row>
    <row r="712" spans="8:8" x14ac:dyDescent="0.2">
      <c r="H712"/>
    </row>
    <row r="713" spans="8:8" x14ac:dyDescent="0.2">
      <c r="H713"/>
    </row>
    <row r="714" spans="8:8" x14ac:dyDescent="0.2">
      <c r="H714"/>
    </row>
    <row r="715" spans="8:8" x14ac:dyDescent="0.2">
      <c r="H715"/>
    </row>
    <row r="716" spans="8:8" x14ac:dyDescent="0.2">
      <c r="H716"/>
    </row>
    <row r="717" spans="8:8" x14ac:dyDescent="0.2">
      <c r="H717"/>
    </row>
    <row r="718" spans="8:8" x14ac:dyDescent="0.2">
      <c r="H718"/>
    </row>
    <row r="719" spans="8:8" x14ac:dyDescent="0.2">
      <c r="H719"/>
    </row>
    <row r="720" spans="8:8" x14ac:dyDescent="0.2">
      <c r="H720"/>
    </row>
    <row r="721" spans="8:8" x14ac:dyDescent="0.2">
      <c r="H721"/>
    </row>
    <row r="722" spans="8:8" x14ac:dyDescent="0.2">
      <c r="H722"/>
    </row>
    <row r="723" spans="8:8" x14ac:dyDescent="0.2">
      <c r="H723"/>
    </row>
    <row r="724" spans="8:8" x14ac:dyDescent="0.2">
      <c r="H724"/>
    </row>
    <row r="725" spans="8:8" x14ac:dyDescent="0.2">
      <c r="H725"/>
    </row>
    <row r="726" spans="8:8" x14ac:dyDescent="0.2">
      <c r="H726"/>
    </row>
    <row r="727" spans="8:8" x14ac:dyDescent="0.2">
      <c r="H727"/>
    </row>
    <row r="728" spans="8:8" x14ac:dyDescent="0.2">
      <c r="H728"/>
    </row>
    <row r="729" spans="8:8" x14ac:dyDescent="0.2">
      <c r="H729"/>
    </row>
    <row r="730" spans="8:8" x14ac:dyDescent="0.2">
      <c r="H730"/>
    </row>
    <row r="731" spans="8:8" x14ac:dyDescent="0.2">
      <c r="H731"/>
    </row>
    <row r="732" spans="8:8" x14ac:dyDescent="0.2">
      <c r="H732"/>
    </row>
    <row r="733" spans="8:8" x14ac:dyDescent="0.2">
      <c r="H733"/>
    </row>
    <row r="734" spans="8:8" x14ac:dyDescent="0.2">
      <c r="H734"/>
    </row>
    <row r="735" spans="8:8" x14ac:dyDescent="0.2">
      <c r="H735"/>
    </row>
    <row r="736" spans="8:8" x14ac:dyDescent="0.2">
      <c r="H736"/>
    </row>
    <row r="737" spans="8:8" x14ac:dyDescent="0.2">
      <c r="H737"/>
    </row>
    <row r="738" spans="8:8" x14ac:dyDescent="0.2">
      <c r="H738"/>
    </row>
    <row r="739" spans="8:8" x14ac:dyDescent="0.2">
      <c r="H739"/>
    </row>
    <row r="740" spans="8:8" x14ac:dyDescent="0.2">
      <c r="H740"/>
    </row>
    <row r="741" spans="8:8" x14ac:dyDescent="0.2">
      <c r="H741"/>
    </row>
    <row r="742" spans="8:8" x14ac:dyDescent="0.2">
      <c r="H742"/>
    </row>
    <row r="743" spans="8:8" x14ac:dyDescent="0.2">
      <c r="H743"/>
    </row>
    <row r="744" spans="8:8" x14ac:dyDescent="0.2">
      <c r="H744"/>
    </row>
    <row r="745" spans="8:8" x14ac:dyDescent="0.2">
      <c r="H745"/>
    </row>
    <row r="746" spans="8:8" x14ac:dyDescent="0.2">
      <c r="H746"/>
    </row>
    <row r="747" spans="8:8" x14ac:dyDescent="0.2">
      <c r="H747"/>
    </row>
    <row r="748" spans="8:8" x14ac:dyDescent="0.2">
      <c r="H748"/>
    </row>
    <row r="749" spans="8:8" x14ac:dyDescent="0.2">
      <c r="H749"/>
    </row>
    <row r="750" spans="8:8" x14ac:dyDescent="0.2">
      <c r="H750"/>
    </row>
    <row r="751" spans="8:8" x14ac:dyDescent="0.2">
      <c r="H751"/>
    </row>
    <row r="752" spans="8:8" x14ac:dyDescent="0.2">
      <c r="H752"/>
    </row>
    <row r="753" spans="8:8" x14ac:dyDescent="0.2">
      <c r="H753"/>
    </row>
    <row r="754" spans="8:8" x14ac:dyDescent="0.2">
      <c r="H754"/>
    </row>
    <row r="755" spans="8:8" x14ac:dyDescent="0.2">
      <c r="H755"/>
    </row>
    <row r="756" spans="8:8" x14ac:dyDescent="0.2">
      <c r="H756"/>
    </row>
    <row r="757" spans="8:8" x14ac:dyDescent="0.2">
      <c r="H757"/>
    </row>
    <row r="758" spans="8:8" x14ac:dyDescent="0.2">
      <c r="H758"/>
    </row>
    <row r="759" spans="8:8" x14ac:dyDescent="0.2">
      <c r="H759"/>
    </row>
    <row r="760" spans="8:8" x14ac:dyDescent="0.2">
      <c r="H760"/>
    </row>
    <row r="761" spans="8:8" x14ac:dyDescent="0.2">
      <c r="H761"/>
    </row>
    <row r="762" spans="8:8" x14ac:dyDescent="0.2">
      <c r="H762"/>
    </row>
    <row r="763" spans="8:8" x14ac:dyDescent="0.2">
      <c r="H763"/>
    </row>
    <row r="764" spans="8:8" x14ac:dyDescent="0.2">
      <c r="H764"/>
    </row>
    <row r="765" spans="8:8" x14ac:dyDescent="0.2">
      <c r="H765"/>
    </row>
    <row r="766" spans="8:8" x14ac:dyDescent="0.2">
      <c r="H766"/>
    </row>
    <row r="767" spans="8:8" x14ac:dyDescent="0.2">
      <c r="H767"/>
    </row>
    <row r="768" spans="8:8" x14ac:dyDescent="0.2">
      <c r="H768"/>
    </row>
    <row r="769" spans="8:8" x14ac:dyDescent="0.2">
      <c r="H769"/>
    </row>
    <row r="770" spans="8:8" x14ac:dyDescent="0.2">
      <c r="H770"/>
    </row>
    <row r="771" spans="8:8" x14ac:dyDescent="0.2">
      <c r="H771"/>
    </row>
    <row r="772" spans="8:8" x14ac:dyDescent="0.2">
      <c r="H772"/>
    </row>
    <row r="773" spans="8:8" x14ac:dyDescent="0.2">
      <c r="H773"/>
    </row>
    <row r="774" spans="8:8" x14ac:dyDescent="0.2">
      <c r="H774"/>
    </row>
    <row r="775" spans="8:8" x14ac:dyDescent="0.2">
      <c r="H775"/>
    </row>
    <row r="776" spans="8:8" x14ac:dyDescent="0.2">
      <c r="H776"/>
    </row>
    <row r="777" spans="8:8" x14ac:dyDescent="0.2">
      <c r="H777"/>
    </row>
    <row r="778" spans="8:8" x14ac:dyDescent="0.2">
      <c r="H778"/>
    </row>
    <row r="779" spans="8:8" x14ac:dyDescent="0.2">
      <c r="H779"/>
    </row>
    <row r="780" spans="8:8" x14ac:dyDescent="0.2">
      <c r="H780"/>
    </row>
    <row r="781" spans="8:8" x14ac:dyDescent="0.2">
      <c r="H781"/>
    </row>
    <row r="782" spans="8:8" x14ac:dyDescent="0.2">
      <c r="H782"/>
    </row>
    <row r="783" spans="8:8" x14ac:dyDescent="0.2">
      <c r="H783"/>
    </row>
    <row r="784" spans="8:8" x14ac:dyDescent="0.2">
      <c r="H784"/>
    </row>
    <row r="785" spans="8:8" x14ac:dyDescent="0.2">
      <c r="H785"/>
    </row>
    <row r="786" spans="8:8" x14ac:dyDescent="0.2">
      <c r="H786"/>
    </row>
    <row r="787" spans="8:8" x14ac:dyDescent="0.2">
      <c r="H787"/>
    </row>
    <row r="788" spans="8:8" x14ac:dyDescent="0.2">
      <c r="H788"/>
    </row>
    <row r="789" spans="8:8" x14ac:dyDescent="0.2">
      <c r="H789"/>
    </row>
    <row r="790" spans="8:8" x14ac:dyDescent="0.2">
      <c r="H790"/>
    </row>
    <row r="791" spans="8:8" x14ac:dyDescent="0.2">
      <c r="H791"/>
    </row>
    <row r="792" spans="8:8" x14ac:dyDescent="0.2">
      <c r="H792"/>
    </row>
    <row r="793" spans="8:8" x14ac:dyDescent="0.2">
      <c r="H793"/>
    </row>
    <row r="794" spans="8:8" x14ac:dyDescent="0.2">
      <c r="H794"/>
    </row>
    <row r="795" spans="8:8" x14ac:dyDescent="0.2">
      <c r="H795"/>
    </row>
    <row r="796" spans="8:8" x14ac:dyDescent="0.2">
      <c r="H796"/>
    </row>
    <row r="797" spans="8:8" x14ac:dyDescent="0.2">
      <c r="H797"/>
    </row>
    <row r="798" spans="8:8" x14ac:dyDescent="0.2">
      <c r="H798"/>
    </row>
    <row r="799" spans="8:8" x14ac:dyDescent="0.2">
      <c r="H799"/>
    </row>
    <row r="800" spans="8:8" x14ac:dyDescent="0.2">
      <c r="H800"/>
    </row>
    <row r="801" spans="8:8" x14ac:dyDescent="0.2">
      <c r="H801"/>
    </row>
    <row r="802" spans="8:8" x14ac:dyDescent="0.2">
      <c r="H802"/>
    </row>
    <row r="803" spans="8:8" x14ac:dyDescent="0.2">
      <c r="H803"/>
    </row>
    <row r="804" spans="8:8" x14ac:dyDescent="0.2">
      <c r="H804"/>
    </row>
    <row r="805" spans="8:8" x14ac:dyDescent="0.2">
      <c r="H805"/>
    </row>
    <row r="806" spans="8:8" x14ac:dyDescent="0.2">
      <c r="H806"/>
    </row>
    <row r="807" spans="8:8" x14ac:dyDescent="0.2">
      <c r="H807"/>
    </row>
    <row r="808" spans="8:8" x14ac:dyDescent="0.2">
      <c r="H808"/>
    </row>
    <row r="809" spans="8:8" x14ac:dyDescent="0.2">
      <c r="H809"/>
    </row>
    <row r="810" spans="8:8" x14ac:dyDescent="0.2">
      <c r="H810"/>
    </row>
    <row r="811" spans="8:8" x14ac:dyDescent="0.2">
      <c r="H811"/>
    </row>
    <row r="812" spans="8:8" x14ac:dyDescent="0.2">
      <c r="H812"/>
    </row>
    <row r="813" spans="8:8" x14ac:dyDescent="0.2">
      <c r="H813"/>
    </row>
    <row r="814" spans="8:8" x14ac:dyDescent="0.2">
      <c r="H814"/>
    </row>
    <row r="815" spans="8:8" x14ac:dyDescent="0.2">
      <c r="H815"/>
    </row>
    <row r="816" spans="8:8" x14ac:dyDescent="0.2">
      <c r="H816"/>
    </row>
    <row r="817" spans="8:8" x14ac:dyDescent="0.2">
      <c r="H817"/>
    </row>
    <row r="818" spans="8:8" x14ac:dyDescent="0.2">
      <c r="H818"/>
    </row>
    <row r="819" spans="8:8" x14ac:dyDescent="0.2">
      <c r="H819"/>
    </row>
    <row r="820" spans="8:8" x14ac:dyDescent="0.2">
      <c r="H820"/>
    </row>
    <row r="821" spans="8:8" x14ac:dyDescent="0.2">
      <c r="H821"/>
    </row>
    <row r="822" spans="8:8" x14ac:dyDescent="0.2">
      <c r="H822"/>
    </row>
    <row r="823" spans="8:8" x14ac:dyDescent="0.2">
      <c r="H823"/>
    </row>
    <row r="824" spans="8:8" x14ac:dyDescent="0.2">
      <c r="H824"/>
    </row>
    <row r="825" spans="8:8" x14ac:dyDescent="0.2">
      <c r="H825"/>
    </row>
    <row r="826" spans="8:8" x14ac:dyDescent="0.2">
      <c r="H826"/>
    </row>
    <row r="827" spans="8:8" x14ac:dyDescent="0.2">
      <c r="H827"/>
    </row>
    <row r="828" spans="8:8" x14ac:dyDescent="0.2">
      <c r="H828"/>
    </row>
    <row r="829" spans="8:8" x14ac:dyDescent="0.2">
      <c r="H829"/>
    </row>
    <row r="830" spans="8:8" x14ac:dyDescent="0.2">
      <c r="H830"/>
    </row>
    <row r="831" spans="8:8" x14ac:dyDescent="0.2">
      <c r="H831"/>
    </row>
    <row r="832" spans="8:8" x14ac:dyDescent="0.2">
      <c r="H832"/>
    </row>
    <row r="833" spans="8:8" x14ac:dyDescent="0.2">
      <c r="H833"/>
    </row>
    <row r="834" spans="8:8" x14ac:dyDescent="0.2">
      <c r="H834"/>
    </row>
    <row r="835" spans="8:8" x14ac:dyDescent="0.2">
      <c r="H835"/>
    </row>
    <row r="836" spans="8:8" x14ac:dyDescent="0.2">
      <c r="H836"/>
    </row>
    <row r="837" spans="8:8" x14ac:dyDescent="0.2">
      <c r="H837"/>
    </row>
    <row r="838" spans="8:8" x14ac:dyDescent="0.2">
      <c r="H838"/>
    </row>
    <row r="839" spans="8:8" x14ac:dyDescent="0.2">
      <c r="H839"/>
    </row>
    <row r="840" spans="8:8" x14ac:dyDescent="0.2">
      <c r="H840"/>
    </row>
    <row r="841" spans="8:8" x14ac:dyDescent="0.2">
      <c r="H841"/>
    </row>
    <row r="842" spans="8:8" x14ac:dyDescent="0.2">
      <c r="H842"/>
    </row>
    <row r="843" spans="8:8" x14ac:dyDescent="0.2">
      <c r="H843"/>
    </row>
    <row r="844" spans="8:8" x14ac:dyDescent="0.2">
      <c r="H844"/>
    </row>
    <row r="845" spans="8:8" x14ac:dyDescent="0.2">
      <c r="H845"/>
    </row>
    <row r="846" spans="8:8" x14ac:dyDescent="0.2">
      <c r="H846"/>
    </row>
    <row r="847" spans="8:8" x14ac:dyDescent="0.2">
      <c r="H847"/>
    </row>
    <row r="848" spans="8:8" x14ac:dyDescent="0.2">
      <c r="H848"/>
    </row>
    <row r="849" spans="8:8" x14ac:dyDescent="0.2">
      <c r="H849"/>
    </row>
    <row r="850" spans="8:8" x14ac:dyDescent="0.2">
      <c r="H850"/>
    </row>
    <row r="851" spans="8:8" x14ac:dyDescent="0.2">
      <c r="H851"/>
    </row>
    <row r="852" spans="8:8" x14ac:dyDescent="0.2">
      <c r="H852"/>
    </row>
    <row r="853" spans="8:8" x14ac:dyDescent="0.2">
      <c r="H853"/>
    </row>
    <row r="854" spans="8:8" x14ac:dyDescent="0.2">
      <c r="H854"/>
    </row>
    <row r="855" spans="8:8" x14ac:dyDescent="0.2">
      <c r="H855"/>
    </row>
    <row r="856" spans="8:8" x14ac:dyDescent="0.2">
      <c r="H856"/>
    </row>
    <row r="857" spans="8:8" x14ac:dyDescent="0.2">
      <c r="H857"/>
    </row>
    <row r="858" spans="8:8" x14ac:dyDescent="0.2">
      <c r="H858"/>
    </row>
    <row r="859" spans="8:8" x14ac:dyDescent="0.2">
      <c r="H859"/>
    </row>
    <row r="860" spans="8:8" x14ac:dyDescent="0.2">
      <c r="H860"/>
    </row>
    <row r="861" spans="8:8" x14ac:dyDescent="0.2">
      <c r="H861"/>
    </row>
    <row r="862" spans="8:8" x14ac:dyDescent="0.2">
      <c r="H862"/>
    </row>
    <row r="863" spans="8:8" x14ac:dyDescent="0.2">
      <c r="H863"/>
    </row>
    <row r="864" spans="8:8" x14ac:dyDescent="0.2">
      <c r="H864"/>
    </row>
    <row r="865" spans="8:8" x14ac:dyDescent="0.2">
      <c r="H865"/>
    </row>
    <row r="866" spans="8:8" x14ac:dyDescent="0.2">
      <c r="H866"/>
    </row>
    <row r="867" spans="8:8" x14ac:dyDescent="0.2">
      <c r="H867"/>
    </row>
    <row r="868" spans="8:8" x14ac:dyDescent="0.2">
      <c r="H868"/>
    </row>
    <row r="869" spans="8:8" x14ac:dyDescent="0.2">
      <c r="H869"/>
    </row>
    <row r="870" spans="8:8" x14ac:dyDescent="0.2">
      <c r="H870"/>
    </row>
    <row r="871" spans="8:8" x14ac:dyDescent="0.2">
      <c r="H871"/>
    </row>
    <row r="872" spans="8:8" x14ac:dyDescent="0.2">
      <c r="H872"/>
    </row>
    <row r="873" spans="8:8" x14ac:dyDescent="0.2">
      <c r="H873"/>
    </row>
    <row r="874" spans="8:8" x14ac:dyDescent="0.2">
      <c r="H874"/>
    </row>
    <row r="875" spans="8:8" x14ac:dyDescent="0.2">
      <c r="H875"/>
    </row>
    <row r="876" spans="8:8" x14ac:dyDescent="0.2">
      <c r="H876"/>
    </row>
    <row r="877" spans="8:8" x14ac:dyDescent="0.2">
      <c r="H877"/>
    </row>
    <row r="878" spans="8:8" x14ac:dyDescent="0.2">
      <c r="H878"/>
    </row>
    <row r="879" spans="8:8" x14ac:dyDescent="0.2">
      <c r="H879"/>
    </row>
    <row r="880" spans="8:8" x14ac:dyDescent="0.2">
      <c r="H880"/>
    </row>
    <row r="881" spans="8:8" x14ac:dyDescent="0.2">
      <c r="H881"/>
    </row>
    <row r="882" spans="8:8" x14ac:dyDescent="0.2">
      <c r="H882"/>
    </row>
    <row r="883" spans="8:8" x14ac:dyDescent="0.2">
      <c r="H883"/>
    </row>
    <row r="884" spans="8:8" x14ac:dyDescent="0.2">
      <c r="H884"/>
    </row>
    <row r="885" spans="8:8" x14ac:dyDescent="0.2">
      <c r="H885"/>
    </row>
    <row r="886" spans="8:8" x14ac:dyDescent="0.2">
      <c r="H886"/>
    </row>
    <row r="887" spans="8:8" x14ac:dyDescent="0.2">
      <c r="H887"/>
    </row>
    <row r="888" spans="8:8" x14ac:dyDescent="0.2">
      <c r="H888"/>
    </row>
    <row r="889" spans="8:8" x14ac:dyDescent="0.2">
      <c r="H889"/>
    </row>
    <row r="890" spans="8:8" x14ac:dyDescent="0.2">
      <c r="H890"/>
    </row>
    <row r="891" spans="8:8" x14ac:dyDescent="0.2">
      <c r="H891"/>
    </row>
    <row r="892" spans="8:8" x14ac:dyDescent="0.2">
      <c r="H892"/>
    </row>
    <row r="893" spans="8:8" x14ac:dyDescent="0.2">
      <c r="H893"/>
    </row>
    <row r="894" spans="8:8" x14ac:dyDescent="0.2">
      <c r="H894"/>
    </row>
    <row r="895" spans="8:8" x14ac:dyDescent="0.2">
      <c r="H895"/>
    </row>
    <row r="896" spans="8:8" x14ac:dyDescent="0.2">
      <c r="H896"/>
    </row>
    <row r="897" spans="8:8" x14ac:dyDescent="0.2">
      <c r="H897"/>
    </row>
    <row r="898" spans="8:8" x14ac:dyDescent="0.2">
      <c r="H898"/>
    </row>
    <row r="899" spans="8:8" x14ac:dyDescent="0.2">
      <c r="H899"/>
    </row>
    <row r="900" spans="8:8" x14ac:dyDescent="0.2">
      <c r="H900"/>
    </row>
    <row r="901" spans="8:8" x14ac:dyDescent="0.2">
      <c r="H901"/>
    </row>
    <row r="902" spans="8:8" x14ac:dyDescent="0.2">
      <c r="H902"/>
    </row>
    <row r="903" spans="8:8" x14ac:dyDescent="0.2">
      <c r="H903"/>
    </row>
    <row r="904" spans="8:8" x14ac:dyDescent="0.2">
      <c r="H904"/>
    </row>
    <row r="905" spans="8:8" x14ac:dyDescent="0.2">
      <c r="H905"/>
    </row>
    <row r="906" spans="8:8" x14ac:dyDescent="0.2">
      <c r="H906"/>
    </row>
    <row r="907" spans="8:8" x14ac:dyDescent="0.2">
      <c r="H907"/>
    </row>
    <row r="908" spans="8:8" x14ac:dyDescent="0.2">
      <c r="H908"/>
    </row>
    <row r="909" spans="8:8" x14ac:dyDescent="0.2">
      <c r="H909"/>
    </row>
    <row r="910" spans="8:8" x14ac:dyDescent="0.2">
      <c r="H910"/>
    </row>
    <row r="911" spans="8:8" x14ac:dyDescent="0.2">
      <c r="H911"/>
    </row>
    <row r="912" spans="8:8" x14ac:dyDescent="0.2">
      <c r="H912"/>
    </row>
    <row r="913" spans="8:8" x14ac:dyDescent="0.2">
      <c r="H913"/>
    </row>
    <row r="914" spans="8:8" x14ac:dyDescent="0.2">
      <c r="H914"/>
    </row>
    <row r="915" spans="8:8" x14ac:dyDescent="0.2">
      <c r="H915"/>
    </row>
    <row r="916" spans="8:8" x14ac:dyDescent="0.2">
      <c r="H916"/>
    </row>
    <row r="917" spans="8:8" x14ac:dyDescent="0.2">
      <c r="H917"/>
    </row>
    <row r="918" spans="8:8" x14ac:dyDescent="0.2">
      <c r="H918"/>
    </row>
    <row r="919" spans="8:8" x14ac:dyDescent="0.2">
      <c r="H919"/>
    </row>
    <row r="920" spans="8:8" x14ac:dyDescent="0.2">
      <c r="H920"/>
    </row>
    <row r="921" spans="8:8" x14ac:dyDescent="0.2">
      <c r="H921"/>
    </row>
    <row r="922" spans="8:8" x14ac:dyDescent="0.2">
      <c r="H922"/>
    </row>
    <row r="923" spans="8:8" x14ac:dyDescent="0.2">
      <c r="H923"/>
    </row>
    <row r="924" spans="8:8" x14ac:dyDescent="0.2">
      <c r="H924"/>
    </row>
    <row r="925" spans="8:8" x14ac:dyDescent="0.2">
      <c r="H925"/>
    </row>
    <row r="926" spans="8:8" x14ac:dyDescent="0.2">
      <c r="H926"/>
    </row>
    <row r="927" spans="8:8" x14ac:dyDescent="0.2">
      <c r="H927"/>
    </row>
    <row r="928" spans="8:8" x14ac:dyDescent="0.2">
      <c r="H928"/>
    </row>
    <row r="929" spans="8:8" x14ac:dyDescent="0.2">
      <c r="H929"/>
    </row>
    <row r="930" spans="8:8" x14ac:dyDescent="0.2">
      <c r="H930"/>
    </row>
    <row r="931" spans="8:8" x14ac:dyDescent="0.2">
      <c r="H931"/>
    </row>
    <row r="932" spans="8:8" x14ac:dyDescent="0.2">
      <c r="H932"/>
    </row>
    <row r="933" spans="8:8" x14ac:dyDescent="0.2">
      <c r="H933"/>
    </row>
    <row r="934" spans="8:8" x14ac:dyDescent="0.2">
      <c r="H934"/>
    </row>
    <row r="935" spans="8:8" x14ac:dyDescent="0.2">
      <c r="H935"/>
    </row>
    <row r="936" spans="8:8" x14ac:dyDescent="0.2">
      <c r="H936"/>
    </row>
    <row r="937" spans="8:8" x14ac:dyDescent="0.2">
      <c r="H937"/>
    </row>
    <row r="938" spans="8:8" x14ac:dyDescent="0.2">
      <c r="H938"/>
    </row>
    <row r="939" spans="8:8" x14ac:dyDescent="0.2">
      <c r="H939"/>
    </row>
    <row r="940" spans="8:8" x14ac:dyDescent="0.2">
      <c r="H940"/>
    </row>
    <row r="941" spans="8:8" x14ac:dyDescent="0.2">
      <c r="H941"/>
    </row>
    <row r="942" spans="8:8" x14ac:dyDescent="0.2">
      <c r="H942"/>
    </row>
    <row r="943" spans="8:8" x14ac:dyDescent="0.2">
      <c r="H943"/>
    </row>
    <row r="944" spans="8:8" x14ac:dyDescent="0.2">
      <c r="H944"/>
    </row>
    <row r="945" spans="8:8" x14ac:dyDescent="0.2">
      <c r="H945"/>
    </row>
    <row r="946" spans="8:8" x14ac:dyDescent="0.2">
      <c r="H946"/>
    </row>
    <row r="947" spans="8:8" x14ac:dyDescent="0.2">
      <c r="H947"/>
    </row>
    <row r="948" spans="8:8" x14ac:dyDescent="0.2">
      <c r="H948"/>
    </row>
    <row r="949" spans="8:8" x14ac:dyDescent="0.2">
      <c r="H949"/>
    </row>
    <row r="950" spans="8:8" x14ac:dyDescent="0.2">
      <c r="H950"/>
    </row>
    <row r="951" spans="8:8" x14ac:dyDescent="0.2">
      <c r="H951"/>
    </row>
    <row r="952" spans="8:8" x14ac:dyDescent="0.2">
      <c r="H952"/>
    </row>
    <row r="953" spans="8:8" x14ac:dyDescent="0.2">
      <c r="H953"/>
    </row>
    <row r="954" spans="8:8" x14ac:dyDescent="0.2">
      <c r="H954"/>
    </row>
    <row r="955" spans="8:8" x14ac:dyDescent="0.2">
      <c r="H955"/>
    </row>
    <row r="956" spans="8:8" x14ac:dyDescent="0.2">
      <c r="H956"/>
    </row>
    <row r="957" spans="8:8" x14ac:dyDescent="0.2">
      <c r="H957"/>
    </row>
    <row r="958" spans="8:8" x14ac:dyDescent="0.2">
      <c r="H958"/>
    </row>
    <row r="959" spans="8:8" x14ac:dyDescent="0.2">
      <c r="H959"/>
    </row>
    <row r="960" spans="8:8" x14ac:dyDescent="0.2">
      <c r="H960"/>
    </row>
    <row r="961" spans="8:8" x14ac:dyDescent="0.2">
      <c r="H961"/>
    </row>
    <row r="962" spans="8:8" x14ac:dyDescent="0.2">
      <c r="H962"/>
    </row>
    <row r="963" spans="8:8" x14ac:dyDescent="0.2">
      <c r="H963"/>
    </row>
    <row r="964" spans="8:8" x14ac:dyDescent="0.2">
      <c r="H964"/>
    </row>
    <row r="965" spans="8:8" x14ac:dyDescent="0.2">
      <c r="H965"/>
    </row>
    <row r="966" spans="8:8" x14ac:dyDescent="0.2">
      <c r="H966"/>
    </row>
    <row r="967" spans="8:8" x14ac:dyDescent="0.2">
      <c r="H967"/>
    </row>
    <row r="968" spans="8:8" x14ac:dyDescent="0.2">
      <c r="H968"/>
    </row>
    <row r="969" spans="8:8" x14ac:dyDescent="0.2">
      <c r="H969"/>
    </row>
    <row r="970" spans="8:8" x14ac:dyDescent="0.2">
      <c r="H970"/>
    </row>
    <row r="971" spans="8:8" x14ac:dyDescent="0.2">
      <c r="H971"/>
    </row>
    <row r="972" spans="8:8" x14ac:dyDescent="0.2">
      <c r="H972"/>
    </row>
    <row r="973" spans="8:8" x14ac:dyDescent="0.2">
      <c r="H973"/>
    </row>
    <row r="974" spans="8:8" x14ac:dyDescent="0.2">
      <c r="H974"/>
    </row>
    <row r="975" spans="8:8" x14ac:dyDescent="0.2">
      <c r="H975"/>
    </row>
    <row r="976" spans="8:8" x14ac:dyDescent="0.2">
      <c r="H976"/>
    </row>
    <row r="977" spans="8:8" x14ac:dyDescent="0.2">
      <c r="H977"/>
    </row>
    <row r="978" spans="8:8" x14ac:dyDescent="0.2">
      <c r="H978"/>
    </row>
    <row r="979" spans="8:8" x14ac:dyDescent="0.2">
      <c r="H979"/>
    </row>
    <row r="980" spans="8:8" x14ac:dyDescent="0.2">
      <c r="H980"/>
    </row>
    <row r="981" spans="8:8" x14ac:dyDescent="0.2">
      <c r="H981"/>
    </row>
    <row r="982" spans="8:8" x14ac:dyDescent="0.2">
      <c r="H982"/>
    </row>
    <row r="983" spans="8:8" x14ac:dyDescent="0.2">
      <c r="H983"/>
    </row>
    <row r="984" spans="8:8" x14ac:dyDescent="0.2">
      <c r="H984"/>
    </row>
    <row r="985" spans="8:8" x14ac:dyDescent="0.2">
      <c r="H985"/>
    </row>
    <row r="986" spans="8:8" x14ac:dyDescent="0.2">
      <c r="H986"/>
    </row>
    <row r="987" spans="8:8" x14ac:dyDescent="0.2">
      <c r="H987"/>
    </row>
    <row r="988" spans="8:8" x14ac:dyDescent="0.2">
      <c r="H988"/>
    </row>
    <row r="989" spans="8:8" x14ac:dyDescent="0.2">
      <c r="H989"/>
    </row>
    <row r="990" spans="8:8" x14ac:dyDescent="0.2">
      <c r="H990"/>
    </row>
    <row r="991" spans="8:8" x14ac:dyDescent="0.2">
      <c r="H991"/>
    </row>
    <row r="992" spans="8:8" x14ac:dyDescent="0.2">
      <c r="H992"/>
    </row>
    <row r="993" spans="8:8" x14ac:dyDescent="0.2">
      <c r="H993"/>
    </row>
    <row r="994" spans="8:8" x14ac:dyDescent="0.2">
      <c r="H994"/>
    </row>
    <row r="995" spans="8:8" x14ac:dyDescent="0.2">
      <c r="H995"/>
    </row>
    <row r="996" spans="8:8" x14ac:dyDescent="0.2">
      <c r="H996"/>
    </row>
    <row r="997" spans="8:8" x14ac:dyDescent="0.2">
      <c r="H997"/>
    </row>
    <row r="998" spans="8:8" x14ac:dyDescent="0.2">
      <c r="H998"/>
    </row>
    <row r="999" spans="8:8" x14ac:dyDescent="0.2">
      <c r="H999"/>
    </row>
    <row r="1000" spans="8:8" x14ac:dyDescent="0.2">
      <c r="H1000"/>
    </row>
    <row r="1001" spans="8:8" x14ac:dyDescent="0.2">
      <c r="H1001"/>
    </row>
    <row r="1002" spans="8:8" x14ac:dyDescent="0.2">
      <c r="H1002"/>
    </row>
    <row r="1003" spans="8:8" x14ac:dyDescent="0.2">
      <c r="H1003"/>
    </row>
    <row r="1004" spans="8:8" x14ac:dyDescent="0.2">
      <c r="H1004"/>
    </row>
    <row r="1005" spans="8:8" x14ac:dyDescent="0.2">
      <c r="H1005"/>
    </row>
    <row r="1006" spans="8:8" x14ac:dyDescent="0.2">
      <c r="H1006"/>
    </row>
    <row r="1007" spans="8:8" x14ac:dyDescent="0.2">
      <c r="H1007"/>
    </row>
    <row r="1008" spans="8:8" x14ac:dyDescent="0.2">
      <c r="H1008"/>
    </row>
    <row r="1009" spans="8:8" x14ac:dyDescent="0.2">
      <c r="H1009"/>
    </row>
    <row r="1010" spans="8:8" x14ac:dyDescent="0.2">
      <c r="H1010"/>
    </row>
    <row r="1011" spans="8:8" x14ac:dyDescent="0.2">
      <c r="H1011"/>
    </row>
    <row r="1012" spans="8:8" x14ac:dyDescent="0.2">
      <c r="H1012"/>
    </row>
    <row r="1013" spans="8:8" x14ac:dyDescent="0.2">
      <c r="H1013"/>
    </row>
    <row r="1014" spans="8:8" x14ac:dyDescent="0.2">
      <c r="H1014"/>
    </row>
    <row r="1015" spans="8:8" x14ac:dyDescent="0.2">
      <c r="H1015"/>
    </row>
    <row r="1016" spans="8:8" x14ac:dyDescent="0.2">
      <c r="H1016"/>
    </row>
    <row r="1017" spans="8:8" x14ac:dyDescent="0.2">
      <c r="H1017"/>
    </row>
    <row r="1018" spans="8:8" x14ac:dyDescent="0.2">
      <c r="H1018"/>
    </row>
    <row r="1019" spans="8:8" x14ac:dyDescent="0.2">
      <c r="H1019"/>
    </row>
    <row r="1020" spans="8:8" x14ac:dyDescent="0.2">
      <c r="H1020"/>
    </row>
    <row r="1021" spans="8:8" x14ac:dyDescent="0.2">
      <c r="H1021"/>
    </row>
    <row r="1022" spans="8:8" x14ac:dyDescent="0.2">
      <c r="H1022"/>
    </row>
    <row r="1023" spans="8:8" x14ac:dyDescent="0.2">
      <c r="H1023"/>
    </row>
    <row r="1024" spans="8:8" x14ac:dyDescent="0.2">
      <c r="H1024"/>
    </row>
    <row r="1025" spans="8:8" x14ac:dyDescent="0.2">
      <c r="H1025"/>
    </row>
    <row r="1026" spans="8:8" x14ac:dyDescent="0.2">
      <c r="H1026"/>
    </row>
    <row r="1027" spans="8:8" x14ac:dyDescent="0.2">
      <c r="H1027"/>
    </row>
    <row r="1028" spans="8:8" x14ac:dyDescent="0.2">
      <c r="H1028"/>
    </row>
    <row r="1029" spans="8:8" x14ac:dyDescent="0.2">
      <c r="H1029"/>
    </row>
    <row r="1030" spans="8:8" x14ac:dyDescent="0.2">
      <c r="H1030"/>
    </row>
    <row r="1031" spans="8:8" x14ac:dyDescent="0.2">
      <c r="H1031"/>
    </row>
    <row r="1032" spans="8:8" x14ac:dyDescent="0.2">
      <c r="H1032"/>
    </row>
    <row r="1033" spans="8:8" x14ac:dyDescent="0.2">
      <c r="H1033"/>
    </row>
    <row r="1034" spans="8:8" x14ac:dyDescent="0.2">
      <c r="H1034"/>
    </row>
    <row r="1035" spans="8:8" x14ac:dyDescent="0.2">
      <c r="H1035"/>
    </row>
    <row r="1036" spans="8:8" x14ac:dyDescent="0.2">
      <c r="H1036"/>
    </row>
    <row r="1037" spans="8:8" x14ac:dyDescent="0.2">
      <c r="H1037"/>
    </row>
    <row r="1038" spans="8:8" x14ac:dyDescent="0.2">
      <c r="H1038"/>
    </row>
    <row r="1039" spans="8:8" x14ac:dyDescent="0.2">
      <c r="H1039"/>
    </row>
    <row r="1040" spans="8:8" x14ac:dyDescent="0.2">
      <c r="H1040"/>
    </row>
    <row r="1041" spans="8:8" x14ac:dyDescent="0.2">
      <c r="H1041"/>
    </row>
    <row r="1042" spans="8:8" x14ac:dyDescent="0.2">
      <c r="H1042"/>
    </row>
    <row r="1043" spans="8:8" x14ac:dyDescent="0.2">
      <c r="H1043"/>
    </row>
    <row r="1044" spans="8:8" x14ac:dyDescent="0.2">
      <c r="H1044"/>
    </row>
    <row r="1045" spans="8:8" x14ac:dyDescent="0.2">
      <c r="H1045"/>
    </row>
    <row r="1046" spans="8:8" x14ac:dyDescent="0.2">
      <c r="H1046"/>
    </row>
    <row r="1047" spans="8:8" x14ac:dyDescent="0.2">
      <c r="H1047"/>
    </row>
    <row r="1048" spans="8:8" x14ac:dyDescent="0.2">
      <c r="H1048"/>
    </row>
    <row r="1049" spans="8:8" x14ac:dyDescent="0.2">
      <c r="H1049"/>
    </row>
    <row r="1050" spans="8:8" x14ac:dyDescent="0.2">
      <c r="H1050"/>
    </row>
    <row r="1051" spans="8:8" x14ac:dyDescent="0.2">
      <c r="H1051"/>
    </row>
    <row r="1052" spans="8:8" x14ac:dyDescent="0.2">
      <c r="H1052"/>
    </row>
    <row r="1053" spans="8:8" x14ac:dyDescent="0.2">
      <c r="H1053"/>
    </row>
    <row r="1054" spans="8:8" x14ac:dyDescent="0.2">
      <c r="H1054"/>
    </row>
    <row r="1055" spans="8:8" x14ac:dyDescent="0.2">
      <c r="H1055"/>
    </row>
    <row r="1056" spans="8:8" x14ac:dyDescent="0.2">
      <c r="H1056"/>
    </row>
    <row r="1057" spans="8:8" x14ac:dyDescent="0.2">
      <c r="H1057"/>
    </row>
    <row r="1058" spans="8:8" x14ac:dyDescent="0.2">
      <c r="H1058"/>
    </row>
    <row r="1059" spans="8:8" x14ac:dyDescent="0.2">
      <c r="H1059"/>
    </row>
    <row r="1060" spans="8:8" x14ac:dyDescent="0.2">
      <c r="H1060"/>
    </row>
    <row r="1061" spans="8:8" x14ac:dyDescent="0.2">
      <c r="H1061"/>
    </row>
    <row r="1062" spans="8:8" x14ac:dyDescent="0.2">
      <c r="H1062"/>
    </row>
    <row r="1063" spans="8:8" x14ac:dyDescent="0.2">
      <c r="H1063"/>
    </row>
    <row r="1064" spans="8:8" x14ac:dyDescent="0.2">
      <c r="H1064"/>
    </row>
    <row r="1065" spans="8:8" x14ac:dyDescent="0.2">
      <c r="H1065"/>
    </row>
    <row r="1066" spans="8:8" x14ac:dyDescent="0.2">
      <c r="H1066"/>
    </row>
    <row r="1067" spans="8:8" x14ac:dyDescent="0.2">
      <c r="H1067"/>
    </row>
    <row r="1068" spans="8:8" x14ac:dyDescent="0.2">
      <c r="H1068"/>
    </row>
    <row r="1069" spans="8:8" x14ac:dyDescent="0.2">
      <c r="H1069"/>
    </row>
    <row r="1070" spans="8:8" x14ac:dyDescent="0.2">
      <c r="H1070"/>
    </row>
    <row r="1071" spans="8:8" x14ac:dyDescent="0.2">
      <c r="H1071"/>
    </row>
    <row r="1072" spans="8:8" x14ac:dyDescent="0.2">
      <c r="H1072"/>
    </row>
    <row r="1073" spans="8:8" x14ac:dyDescent="0.2">
      <c r="H1073"/>
    </row>
    <row r="1074" spans="8:8" x14ac:dyDescent="0.2">
      <c r="H1074"/>
    </row>
    <row r="1075" spans="8:8" x14ac:dyDescent="0.2">
      <c r="H1075"/>
    </row>
    <row r="1076" spans="8:8" x14ac:dyDescent="0.2">
      <c r="H1076"/>
    </row>
    <row r="1077" spans="8:8" x14ac:dyDescent="0.2">
      <c r="H1077"/>
    </row>
    <row r="1078" spans="8:8" x14ac:dyDescent="0.2">
      <c r="H1078"/>
    </row>
    <row r="1079" spans="8:8" x14ac:dyDescent="0.2">
      <c r="H1079"/>
    </row>
    <row r="1080" spans="8:8" x14ac:dyDescent="0.2">
      <c r="H1080"/>
    </row>
    <row r="1081" spans="8:8" x14ac:dyDescent="0.2">
      <c r="H1081"/>
    </row>
    <row r="1082" spans="8:8" x14ac:dyDescent="0.2">
      <c r="H1082"/>
    </row>
    <row r="1083" spans="8:8" x14ac:dyDescent="0.2">
      <c r="H1083"/>
    </row>
    <row r="1084" spans="8:8" x14ac:dyDescent="0.2">
      <c r="H1084"/>
    </row>
    <row r="1085" spans="8:8" x14ac:dyDescent="0.2">
      <c r="H1085"/>
    </row>
    <row r="1086" spans="8:8" x14ac:dyDescent="0.2">
      <c r="H108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211"/>
  <sheetViews>
    <sheetView zoomScale="150" zoomScaleNormal="150" workbookViewId="0">
      <pane ySplit="1" topLeftCell="A2" activePane="bottomLeft" state="frozen"/>
      <selection pane="bottomLeft"/>
    </sheetView>
  </sheetViews>
  <sheetFormatPr defaultColWidth="9.5703125" defaultRowHeight="12.75" x14ac:dyDescent="0.2"/>
  <cols>
    <col min="1" max="1" width="10.42578125" style="45" bestFit="1" customWidth="1"/>
    <col min="2" max="2" width="15.140625" style="89" bestFit="1" customWidth="1"/>
    <col min="3" max="3" width="14.42578125" style="89" bestFit="1" customWidth="1"/>
    <col min="4" max="4" width="15.85546875" style="89" bestFit="1" customWidth="1"/>
    <col min="5" max="5" width="14.7109375" style="89" bestFit="1" customWidth="1"/>
    <col min="6" max="6" width="15.140625" style="89" bestFit="1" customWidth="1"/>
    <col min="7" max="7" width="14.5703125" style="89" bestFit="1" customWidth="1"/>
    <col min="8" max="8" width="9.5703125" style="89" bestFit="1" customWidth="1"/>
    <col min="9" max="9" width="10.42578125" style="89" bestFit="1" customWidth="1"/>
    <col min="10" max="12" width="9.5703125" style="32"/>
    <col min="13" max="13" width="10.42578125" style="32" bestFit="1" customWidth="1"/>
    <col min="14" max="16" width="9.5703125" style="24"/>
    <col min="17" max="19" width="9.5703125" style="25"/>
    <col min="20" max="20" width="9.5703125" style="24"/>
  </cols>
  <sheetData>
    <row r="1" spans="1:20" s="29" customFormat="1" x14ac:dyDescent="0.2">
      <c r="A1" s="45" t="s">
        <v>3</v>
      </c>
      <c r="B1" s="89" t="s">
        <v>674</v>
      </c>
      <c r="C1" s="89" t="s">
        <v>673</v>
      </c>
      <c r="D1" s="89" t="s">
        <v>672</v>
      </c>
      <c r="E1" s="89" t="s">
        <v>675</v>
      </c>
      <c r="H1" s="29" t="s">
        <v>237</v>
      </c>
      <c r="I1" s="33">
        <f>MIN(Trades!$F:$F)</f>
        <v>0</v>
      </c>
    </row>
    <row r="2" spans="1:20" x14ac:dyDescent="0.2">
      <c r="A2" s="45">
        <v>42979</v>
      </c>
      <c r="B2" s="3">
        <v>4703.3900000000003</v>
      </c>
      <c r="C2" s="3">
        <v>383.04</v>
      </c>
      <c r="D2" s="3">
        <v>1</v>
      </c>
      <c r="E2" s="3">
        <v>2.2000000000000002</v>
      </c>
      <c r="F2"/>
      <c r="G2"/>
      <c r="H2"/>
      <c r="I2"/>
      <c r="J2"/>
      <c r="K2"/>
      <c r="L2"/>
      <c r="M2"/>
      <c r="N2"/>
      <c r="O2"/>
      <c r="P2"/>
      <c r="Q2"/>
      <c r="R2"/>
      <c r="S2"/>
      <c r="T2"/>
    </row>
    <row r="3" spans="1:20" x14ac:dyDescent="0.2">
      <c r="A3" s="45">
        <v>42980</v>
      </c>
      <c r="B3" s="3">
        <v>4892.01</v>
      </c>
      <c r="C3" s="3">
        <v>387.74</v>
      </c>
      <c r="D3" s="3">
        <v>1</v>
      </c>
      <c r="E3" s="3">
        <v>2.38</v>
      </c>
      <c r="F3"/>
      <c r="G3"/>
      <c r="H3"/>
      <c r="I3"/>
      <c r="J3"/>
      <c r="K3"/>
      <c r="L3"/>
      <c r="M3"/>
      <c r="N3"/>
      <c r="O3"/>
      <c r="P3"/>
      <c r="Q3"/>
      <c r="R3"/>
      <c r="S3"/>
      <c r="T3"/>
    </row>
    <row r="4" spans="1:20" x14ac:dyDescent="0.2">
      <c r="A4" s="45">
        <v>42981</v>
      </c>
      <c r="B4" s="3">
        <v>4578.7700000000004</v>
      </c>
      <c r="C4" s="3">
        <v>348.98</v>
      </c>
      <c r="D4" s="3">
        <v>1.02</v>
      </c>
      <c r="E4" s="3">
        <v>1.99</v>
      </c>
      <c r="F4"/>
      <c r="G4"/>
      <c r="H4"/>
      <c r="I4"/>
      <c r="J4"/>
      <c r="K4"/>
      <c r="L4"/>
      <c r="M4"/>
      <c r="N4"/>
      <c r="O4"/>
      <c r="P4"/>
      <c r="Q4"/>
      <c r="R4"/>
      <c r="S4"/>
      <c r="T4"/>
    </row>
    <row r="5" spans="1:20" x14ac:dyDescent="0.2">
      <c r="A5" s="45">
        <v>42982</v>
      </c>
      <c r="B5" s="3">
        <v>4582.96</v>
      </c>
      <c r="C5" s="3">
        <v>347.48</v>
      </c>
      <c r="D5" s="3">
        <v>1</v>
      </c>
      <c r="E5" s="3">
        <v>1.58</v>
      </c>
      <c r="F5"/>
      <c r="G5"/>
      <c r="H5"/>
      <c r="I5"/>
      <c r="J5"/>
      <c r="K5"/>
      <c r="L5"/>
      <c r="M5"/>
      <c r="N5"/>
      <c r="O5"/>
      <c r="P5"/>
      <c r="Q5"/>
      <c r="R5"/>
      <c r="S5"/>
      <c r="T5"/>
    </row>
    <row r="6" spans="1:20" x14ac:dyDescent="0.2">
      <c r="A6" s="45">
        <v>42983</v>
      </c>
      <c r="B6" s="3">
        <v>4236.3100000000004</v>
      </c>
      <c r="C6" s="3">
        <v>295.17</v>
      </c>
      <c r="D6" s="3">
        <v>1.03</v>
      </c>
      <c r="E6" s="3">
        <v>1.05</v>
      </c>
      <c r="F6"/>
      <c r="G6"/>
      <c r="H6"/>
      <c r="I6"/>
      <c r="J6"/>
      <c r="K6"/>
      <c r="L6"/>
      <c r="M6"/>
      <c r="N6"/>
      <c r="O6"/>
      <c r="P6"/>
      <c r="Q6"/>
      <c r="R6"/>
      <c r="S6"/>
      <c r="T6"/>
    </row>
    <row r="7" spans="1:20" x14ac:dyDescent="0.2">
      <c r="A7" s="45">
        <v>42984</v>
      </c>
      <c r="B7" s="3">
        <v>4376.53</v>
      </c>
      <c r="C7" s="3">
        <v>312.99</v>
      </c>
      <c r="D7" s="3">
        <v>1</v>
      </c>
      <c r="E7" s="3">
        <v>0.97371600000000003</v>
      </c>
      <c r="F7"/>
      <c r="G7"/>
      <c r="H7"/>
      <c r="I7"/>
      <c r="J7"/>
      <c r="K7"/>
      <c r="L7"/>
      <c r="M7"/>
      <c r="N7"/>
      <c r="O7"/>
      <c r="P7"/>
      <c r="Q7"/>
      <c r="R7"/>
      <c r="S7"/>
      <c r="T7"/>
    </row>
    <row r="8" spans="1:20" x14ac:dyDescent="0.2">
      <c r="A8" s="45">
        <v>42985</v>
      </c>
      <c r="B8" s="3">
        <v>4597.12</v>
      </c>
      <c r="C8" s="3">
        <v>334.34</v>
      </c>
      <c r="D8" s="3">
        <v>1.01</v>
      </c>
      <c r="E8" s="3">
        <v>1.0900000000000001</v>
      </c>
      <c r="F8"/>
      <c r="G8"/>
      <c r="H8"/>
      <c r="I8"/>
      <c r="J8"/>
      <c r="K8"/>
      <c r="L8"/>
      <c r="M8"/>
      <c r="N8"/>
      <c r="O8"/>
      <c r="P8"/>
      <c r="Q8"/>
      <c r="R8"/>
      <c r="S8"/>
      <c r="T8"/>
    </row>
    <row r="9" spans="1:20" x14ac:dyDescent="0.2">
      <c r="A9" s="45">
        <v>42986</v>
      </c>
      <c r="B9" s="3">
        <v>4599.88</v>
      </c>
      <c r="C9" s="3">
        <v>329.43</v>
      </c>
      <c r="D9" s="3">
        <v>1</v>
      </c>
      <c r="E9" s="3">
        <v>1.37</v>
      </c>
      <c r="F9"/>
      <c r="G9"/>
      <c r="H9"/>
      <c r="I9"/>
      <c r="J9"/>
      <c r="K9"/>
      <c r="L9"/>
      <c r="M9"/>
      <c r="N9"/>
      <c r="O9"/>
      <c r="P9"/>
      <c r="Q9"/>
      <c r="R9"/>
      <c r="S9"/>
      <c r="T9"/>
    </row>
    <row r="10" spans="1:20" x14ac:dyDescent="0.2">
      <c r="A10" s="45">
        <v>42987</v>
      </c>
      <c r="B10" s="3">
        <v>4228.75</v>
      </c>
      <c r="C10" s="3">
        <v>296.5</v>
      </c>
      <c r="D10" s="3">
        <v>1.01</v>
      </c>
      <c r="E10" s="3">
        <v>1.01</v>
      </c>
      <c r="F10"/>
      <c r="G10"/>
      <c r="H10"/>
      <c r="I10"/>
      <c r="J10"/>
      <c r="K10"/>
      <c r="L10"/>
      <c r="M10"/>
      <c r="N10"/>
      <c r="O10"/>
      <c r="P10"/>
      <c r="Q10"/>
      <c r="R10"/>
      <c r="S10"/>
      <c r="T10"/>
    </row>
    <row r="11" spans="1:20" x14ac:dyDescent="0.2">
      <c r="A11" s="45">
        <v>42988</v>
      </c>
      <c r="B11" s="3">
        <v>4226.0600000000004</v>
      </c>
      <c r="C11" s="3">
        <v>294.39999999999998</v>
      </c>
      <c r="D11" s="3">
        <v>1</v>
      </c>
      <c r="E11" s="3">
        <v>0.98930099999999999</v>
      </c>
      <c r="F11"/>
      <c r="G11"/>
      <c r="H11"/>
      <c r="I11"/>
      <c r="J11"/>
      <c r="K11"/>
      <c r="L11"/>
      <c r="M11"/>
      <c r="N11"/>
      <c r="O11"/>
      <c r="P11"/>
      <c r="Q11"/>
      <c r="R11"/>
      <c r="S11"/>
      <c r="T11"/>
    </row>
    <row r="12" spans="1:20" x14ac:dyDescent="0.2">
      <c r="A12" s="45">
        <v>42989</v>
      </c>
      <c r="B12" s="3">
        <v>4122.9399999999996</v>
      </c>
      <c r="C12" s="3">
        <v>288.75</v>
      </c>
      <c r="D12" s="3">
        <v>1.01</v>
      </c>
      <c r="E12" s="3">
        <v>0.94215899999999997</v>
      </c>
      <c r="F12"/>
      <c r="G12"/>
      <c r="H12"/>
      <c r="I12"/>
      <c r="J12"/>
      <c r="K12"/>
      <c r="L12"/>
      <c r="M12"/>
      <c r="N12"/>
      <c r="O12"/>
      <c r="P12"/>
      <c r="Q12"/>
      <c r="R12"/>
      <c r="S12"/>
      <c r="T12"/>
    </row>
    <row r="13" spans="1:20" x14ac:dyDescent="0.2">
      <c r="A13" s="45">
        <v>42990</v>
      </c>
      <c r="B13" s="3">
        <v>4161.2700000000004</v>
      </c>
      <c r="C13" s="3">
        <v>294.52999999999997</v>
      </c>
      <c r="D13" s="3">
        <v>1</v>
      </c>
      <c r="E13" s="3">
        <v>1.03</v>
      </c>
      <c r="F13"/>
      <c r="G13"/>
      <c r="H13"/>
      <c r="I13"/>
      <c r="J13"/>
      <c r="K13"/>
      <c r="L13"/>
      <c r="M13"/>
      <c r="N13"/>
      <c r="O13"/>
      <c r="P13"/>
      <c r="Q13"/>
      <c r="R13"/>
      <c r="S13"/>
      <c r="T13"/>
    </row>
    <row r="14" spans="1:20" x14ac:dyDescent="0.2">
      <c r="A14" s="45">
        <v>42991</v>
      </c>
      <c r="B14" s="3">
        <v>4130.8100000000004</v>
      </c>
      <c r="C14" s="3">
        <v>291.45999999999998</v>
      </c>
      <c r="D14" s="3">
        <v>1.01</v>
      </c>
      <c r="E14" s="3">
        <v>1.04</v>
      </c>
      <c r="F14"/>
      <c r="G14"/>
      <c r="H14"/>
      <c r="I14"/>
      <c r="J14"/>
      <c r="K14"/>
      <c r="L14"/>
      <c r="M14"/>
      <c r="N14"/>
      <c r="O14"/>
      <c r="P14"/>
      <c r="Q14"/>
      <c r="R14"/>
      <c r="S14"/>
      <c r="T14"/>
    </row>
    <row r="15" spans="1:20" x14ac:dyDescent="0.2">
      <c r="A15" s="45">
        <v>42992</v>
      </c>
      <c r="B15" s="3">
        <v>3882.59</v>
      </c>
      <c r="C15" s="3">
        <v>277.11</v>
      </c>
      <c r="D15" s="3">
        <v>1</v>
      </c>
      <c r="E15" s="3">
        <v>0.93720400000000004</v>
      </c>
      <c r="F15"/>
      <c r="G15"/>
      <c r="H15"/>
      <c r="I15"/>
      <c r="J15"/>
      <c r="K15"/>
      <c r="L15"/>
      <c r="M15"/>
      <c r="N15"/>
      <c r="O15"/>
      <c r="P15"/>
      <c r="Q15"/>
      <c r="R15"/>
      <c r="S15"/>
      <c r="T15"/>
    </row>
    <row r="16" spans="1:20" x14ac:dyDescent="0.2">
      <c r="A16" s="45">
        <v>42993</v>
      </c>
      <c r="B16" s="3">
        <v>3154.95</v>
      </c>
      <c r="C16" s="3">
        <v>213.91</v>
      </c>
      <c r="D16" s="3">
        <v>1</v>
      </c>
      <c r="E16" s="3">
        <v>0.67878400000000005</v>
      </c>
      <c r="F16"/>
      <c r="G16"/>
      <c r="H16"/>
      <c r="I16"/>
      <c r="J16"/>
      <c r="K16"/>
      <c r="L16"/>
      <c r="M16"/>
      <c r="N16"/>
      <c r="O16"/>
      <c r="P16"/>
      <c r="Q16"/>
      <c r="R16"/>
      <c r="S16"/>
      <c r="T16"/>
    </row>
    <row r="17" spans="1:20" x14ac:dyDescent="0.2">
      <c r="A17" s="45">
        <v>42994</v>
      </c>
      <c r="B17" s="3">
        <v>3637.52</v>
      </c>
      <c r="C17" s="3">
        <v>250.46</v>
      </c>
      <c r="D17" s="3">
        <v>1.01</v>
      </c>
      <c r="E17" s="3">
        <v>0.799709</v>
      </c>
      <c r="F17"/>
      <c r="G17"/>
      <c r="H17"/>
      <c r="I17"/>
      <c r="J17"/>
      <c r="K17"/>
      <c r="L17"/>
      <c r="M17"/>
      <c r="N17"/>
      <c r="O17"/>
      <c r="P17"/>
      <c r="Q17"/>
      <c r="R17"/>
      <c r="S17"/>
      <c r="T17"/>
    </row>
    <row r="18" spans="1:20" x14ac:dyDescent="0.2">
      <c r="A18" s="45">
        <v>42995</v>
      </c>
      <c r="B18" s="3">
        <v>3625.04</v>
      </c>
      <c r="C18" s="3">
        <v>246.52</v>
      </c>
      <c r="D18" s="3">
        <v>1</v>
      </c>
      <c r="E18" s="3">
        <v>0.80419799999999997</v>
      </c>
      <c r="F18"/>
      <c r="G18"/>
      <c r="H18"/>
      <c r="I18"/>
      <c r="J18"/>
      <c r="K18"/>
      <c r="L18"/>
      <c r="M18"/>
      <c r="N18"/>
      <c r="O18"/>
      <c r="P18"/>
      <c r="Q18"/>
      <c r="R18"/>
      <c r="S18"/>
      <c r="T18"/>
    </row>
    <row r="19" spans="1:20" x14ac:dyDescent="0.2">
      <c r="A19" s="45">
        <v>42996</v>
      </c>
      <c r="B19" s="3">
        <v>3582.88</v>
      </c>
      <c r="C19" s="3">
        <v>251.75</v>
      </c>
      <c r="D19" s="3">
        <v>1.01</v>
      </c>
      <c r="E19" s="3">
        <v>0.78958899999999999</v>
      </c>
      <c r="F19"/>
      <c r="G19"/>
      <c r="H19"/>
      <c r="I19"/>
      <c r="J19"/>
      <c r="K19"/>
      <c r="L19"/>
      <c r="M19"/>
      <c r="N19"/>
      <c r="O19"/>
      <c r="P19"/>
      <c r="Q19"/>
      <c r="R19"/>
      <c r="S19"/>
      <c r="T19"/>
    </row>
    <row r="20" spans="1:20" x14ac:dyDescent="0.2">
      <c r="A20" s="45">
        <v>42997</v>
      </c>
      <c r="B20" s="3">
        <v>4065.2</v>
      </c>
      <c r="C20" s="3">
        <v>293.5</v>
      </c>
      <c r="D20" s="3">
        <v>1</v>
      </c>
      <c r="E20" s="3">
        <v>0.90920199999999995</v>
      </c>
      <c r="F20"/>
      <c r="G20"/>
      <c r="H20"/>
      <c r="I20"/>
      <c r="J20"/>
      <c r="K20"/>
      <c r="L20"/>
      <c r="M20"/>
      <c r="N20"/>
      <c r="O20"/>
      <c r="P20"/>
      <c r="Q20"/>
      <c r="R20"/>
      <c r="S20"/>
      <c r="T20"/>
    </row>
    <row r="21" spans="1:20" x14ac:dyDescent="0.2">
      <c r="A21" s="45">
        <v>42998</v>
      </c>
      <c r="B21" s="3">
        <v>3924.97</v>
      </c>
      <c r="C21" s="3">
        <v>282.8</v>
      </c>
      <c r="D21" s="3">
        <v>1</v>
      </c>
      <c r="E21" s="3">
        <v>0.80242500000000005</v>
      </c>
      <c r="F21"/>
      <c r="G21"/>
      <c r="H21"/>
      <c r="I21"/>
      <c r="J21"/>
      <c r="K21"/>
      <c r="L21"/>
      <c r="M21"/>
      <c r="N21"/>
      <c r="O21"/>
      <c r="P21"/>
      <c r="Q21"/>
      <c r="R21"/>
      <c r="S21"/>
      <c r="T21"/>
    </row>
    <row r="22" spans="1:20" x14ac:dyDescent="0.2">
      <c r="A22" s="45">
        <v>42999</v>
      </c>
      <c r="B22" s="3">
        <v>3905.95</v>
      </c>
      <c r="C22" s="3">
        <v>283.74</v>
      </c>
      <c r="D22" s="3">
        <v>1</v>
      </c>
      <c r="E22" s="3">
        <v>0.74789000000000005</v>
      </c>
      <c r="F22"/>
      <c r="G22"/>
      <c r="H22"/>
      <c r="I22"/>
      <c r="J22"/>
      <c r="K22"/>
      <c r="L22"/>
      <c r="M22"/>
      <c r="N22"/>
      <c r="O22"/>
      <c r="P22"/>
      <c r="Q22"/>
      <c r="R22"/>
      <c r="S22"/>
      <c r="T22"/>
    </row>
    <row r="23" spans="1:20" x14ac:dyDescent="0.2">
      <c r="A23" s="45">
        <v>43000</v>
      </c>
      <c r="B23" s="3">
        <v>3631.04</v>
      </c>
      <c r="C23" s="3">
        <v>258.58</v>
      </c>
      <c r="D23" s="3">
        <v>1</v>
      </c>
      <c r="E23" s="3">
        <v>0.70213999999999999</v>
      </c>
      <c r="F23"/>
      <c r="G23"/>
      <c r="H23"/>
      <c r="I23"/>
      <c r="J23"/>
      <c r="K23"/>
      <c r="L23"/>
      <c r="M23"/>
      <c r="N23"/>
      <c r="O23"/>
      <c r="P23"/>
      <c r="Q23"/>
      <c r="R23"/>
      <c r="S23"/>
      <c r="T23"/>
    </row>
    <row r="24" spans="1:20" x14ac:dyDescent="0.2">
      <c r="A24" s="45">
        <v>43001</v>
      </c>
      <c r="B24" s="3">
        <v>3630.7</v>
      </c>
      <c r="C24" s="3">
        <v>264.31</v>
      </c>
      <c r="D24" s="3">
        <v>1</v>
      </c>
      <c r="E24" s="3">
        <v>0.715893</v>
      </c>
      <c r="F24"/>
      <c r="G24"/>
      <c r="H24"/>
      <c r="I24"/>
      <c r="J24"/>
      <c r="K24"/>
      <c r="L24"/>
      <c r="M24"/>
      <c r="N24"/>
      <c r="O24"/>
      <c r="P24"/>
      <c r="Q24"/>
      <c r="R24"/>
      <c r="S24"/>
      <c r="T24"/>
    </row>
    <row r="25" spans="1:20" x14ac:dyDescent="0.2">
      <c r="A25" s="45">
        <v>43002</v>
      </c>
      <c r="B25" s="3">
        <v>3792.4</v>
      </c>
      <c r="C25" s="3">
        <v>286.17</v>
      </c>
      <c r="D25" s="3">
        <v>1</v>
      </c>
      <c r="E25" s="3">
        <v>0.77096500000000001</v>
      </c>
      <c r="F25"/>
      <c r="G25"/>
      <c r="H25"/>
      <c r="I25"/>
      <c r="J25"/>
      <c r="K25"/>
      <c r="L25"/>
      <c r="M25"/>
      <c r="N25"/>
      <c r="O25"/>
      <c r="P25"/>
      <c r="Q25"/>
      <c r="R25"/>
      <c r="S25"/>
      <c r="T25"/>
    </row>
    <row r="26" spans="1:20" x14ac:dyDescent="0.2">
      <c r="A26" s="45">
        <v>43003</v>
      </c>
      <c r="B26" s="3">
        <v>3682.84</v>
      </c>
      <c r="C26" s="3">
        <v>282.48</v>
      </c>
      <c r="D26" s="3">
        <v>1</v>
      </c>
      <c r="E26" s="3">
        <v>0.78326799999999996</v>
      </c>
      <c r="F26"/>
      <c r="G26"/>
      <c r="H26"/>
      <c r="I26"/>
      <c r="J26"/>
      <c r="K26"/>
      <c r="L26"/>
      <c r="M26"/>
      <c r="N26"/>
      <c r="O26"/>
      <c r="P26"/>
      <c r="Q26"/>
      <c r="R26"/>
      <c r="S26"/>
      <c r="T26"/>
    </row>
    <row r="27" spans="1:20" x14ac:dyDescent="0.2">
      <c r="A27" s="45">
        <v>43004</v>
      </c>
      <c r="B27" s="3">
        <v>3926.07</v>
      </c>
      <c r="C27" s="3">
        <v>292.33</v>
      </c>
      <c r="D27" s="3">
        <v>1</v>
      </c>
      <c r="E27" s="3">
        <v>0.91705899999999996</v>
      </c>
      <c r="F27"/>
      <c r="G27"/>
      <c r="H27"/>
      <c r="I27"/>
      <c r="J27"/>
      <c r="K27"/>
      <c r="L27"/>
      <c r="M27"/>
      <c r="N27"/>
      <c r="O27"/>
      <c r="P27"/>
      <c r="Q27"/>
      <c r="R27"/>
      <c r="S27"/>
      <c r="T27"/>
    </row>
    <row r="28" spans="1:20" x14ac:dyDescent="0.2">
      <c r="A28" s="45">
        <v>43005</v>
      </c>
      <c r="B28" s="3">
        <v>3892.35</v>
      </c>
      <c r="C28" s="3">
        <v>287.44</v>
      </c>
      <c r="D28" s="3">
        <v>1</v>
      </c>
      <c r="E28" s="3">
        <v>0.86074700000000004</v>
      </c>
      <c r="F28"/>
      <c r="G28"/>
      <c r="H28"/>
      <c r="I28"/>
      <c r="J28"/>
      <c r="K28"/>
      <c r="L28"/>
      <c r="M28"/>
      <c r="N28"/>
      <c r="O28"/>
      <c r="P28"/>
      <c r="Q28"/>
      <c r="R28"/>
      <c r="S28"/>
      <c r="T28"/>
    </row>
    <row r="29" spans="1:20" x14ac:dyDescent="0.2">
      <c r="A29" s="45">
        <v>43006</v>
      </c>
      <c r="B29" s="3">
        <v>4200.67</v>
      </c>
      <c r="C29" s="3">
        <v>306.47000000000003</v>
      </c>
      <c r="D29" s="3">
        <v>1</v>
      </c>
      <c r="E29" s="3">
        <v>1.1399999999999999</v>
      </c>
      <c r="F29"/>
      <c r="G29"/>
      <c r="H29"/>
      <c r="I29"/>
      <c r="J29"/>
      <c r="K29"/>
      <c r="L29"/>
      <c r="M29"/>
      <c r="N29"/>
      <c r="O29"/>
      <c r="P29"/>
      <c r="Q29"/>
      <c r="R29"/>
      <c r="S29"/>
      <c r="T29"/>
    </row>
    <row r="30" spans="1:20" x14ac:dyDescent="0.2">
      <c r="A30" s="45">
        <v>43007</v>
      </c>
      <c r="B30" s="3">
        <v>4174.7299999999996</v>
      </c>
      <c r="C30" s="3">
        <v>299.14999999999998</v>
      </c>
      <c r="D30" s="3">
        <v>1</v>
      </c>
      <c r="E30" s="3">
        <v>1.38</v>
      </c>
      <c r="F30"/>
      <c r="G30"/>
      <c r="H30"/>
      <c r="I30"/>
      <c r="J30"/>
      <c r="K30"/>
      <c r="L30"/>
      <c r="M30"/>
      <c r="N30"/>
      <c r="O30"/>
      <c r="P30"/>
      <c r="Q30"/>
      <c r="R30"/>
      <c r="S30"/>
      <c r="T30"/>
    </row>
    <row r="31" spans="1:20" x14ac:dyDescent="0.2">
      <c r="A31" s="45">
        <v>43008</v>
      </c>
      <c r="B31" s="3">
        <v>4163.07</v>
      </c>
      <c r="C31" s="3">
        <v>291.47000000000003</v>
      </c>
      <c r="D31" s="3">
        <v>0.99986299999999995</v>
      </c>
      <c r="E31" s="3">
        <v>1.27</v>
      </c>
      <c r="F31"/>
      <c r="G31"/>
      <c r="H31"/>
      <c r="I31"/>
      <c r="J31"/>
      <c r="K31"/>
      <c r="L31"/>
      <c r="M31"/>
      <c r="N31"/>
      <c r="O31"/>
      <c r="P31"/>
      <c r="Q31"/>
      <c r="R31"/>
      <c r="S31"/>
      <c r="T31"/>
    </row>
    <row r="32" spans="1:20" x14ac:dyDescent="0.2">
      <c r="A32" s="45">
        <v>43009</v>
      </c>
      <c r="B32" s="3">
        <v>4338.71</v>
      </c>
      <c r="C32" s="3">
        <v>301.45999999999998</v>
      </c>
      <c r="D32" s="3">
        <v>0.99648800000000004</v>
      </c>
      <c r="E32" s="3">
        <v>1.28</v>
      </c>
      <c r="F32"/>
      <c r="G32"/>
      <c r="H32"/>
      <c r="I32"/>
      <c r="J32"/>
      <c r="K32"/>
      <c r="L32"/>
      <c r="M32"/>
      <c r="N32"/>
      <c r="O32"/>
      <c r="P32"/>
      <c r="Q32"/>
      <c r="R32"/>
      <c r="S32"/>
      <c r="T32"/>
    </row>
    <row r="33" spans="1:20" x14ac:dyDescent="0.2">
      <c r="A33" s="45">
        <v>43010</v>
      </c>
      <c r="B33" s="3">
        <v>4403.74</v>
      </c>
      <c r="C33" s="3">
        <v>302.33999999999997</v>
      </c>
      <c r="D33" s="3">
        <v>0.99992400000000004</v>
      </c>
      <c r="E33" s="3">
        <v>1.53</v>
      </c>
      <c r="F33"/>
      <c r="G33"/>
      <c r="H33"/>
      <c r="I33"/>
      <c r="J33"/>
      <c r="K33"/>
      <c r="L33"/>
      <c r="M33"/>
      <c r="N33"/>
      <c r="O33"/>
      <c r="P33"/>
      <c r="Q33"/>
      <c r="R33"/>
      <c r="S33"/>
      <c r="T33"/>
    </row>
    <row r="34" spans="1:20" x14ac:dyDescent="0.2">
      <c r="A34" s="45">
        <v>43011</v>
      </c>
      <c r="B34" s="3">
        <v>4409.32</v>
      </c>
      <c r="C34" s="3">
        <v>297.48</v>
      </c>
      <c r="D34" s="3">
        <v>1</v>
      </c>
      <c r="E34" s="3">
        <v>1.96</v>
      </c>
      <c r="F34"/>
      <c r="G34"/>
      <c r="H34"/>
      <c r="I34"/>
      <c r="J34"/>
      <c r="K34"/>
      <c r="L34"/>
      <c r="M34"/>
      <c r="N34"/>
      <c r="O34"/>
      <c r="P34"/>
      <c r="Q34"/>
      <c r="R34"/>
      <c r="S34"/>
      <c r="T34"/>
    </row>
    <row r="35" spans="1:20" x14ac:dyDescent="0.2">
      <c r="A35" s="45">
        <v>43012</v>
      </c>
      <c r="B35" s="3">
        <v>4317.4799999999996</v>
      </c>
      <c r="C35" s="3">
        <v>292.45999999999998</v>
      </c>
      <c r="D35" s="3">
        <v>1</v>
      </c>
      <c r="E35" s="3">
        <v>1.82</v>
      </c>
      <c r="F35"/>
      <c r="G35"/>
      <c r="H35"/>
      <c r="I35"/>
      <c r="J35"/>
      <c r="K35"/>
      <c r="L35"/>
      <c r="M35"/>
      <c r="N35"/>
      <c r="O35"/>
      <c r="P35"/>
      <c r="Q35"/>
      <c r="R35"/>
      <c r="S35"/>
      <c r="T35"/>
    </row>
    <row r="36" spans="1:20" x14ac:dyDescent="0.2">
      <c r="A36" s="45">
        <v>43013</v>
      </c>
      <c r="B36" s="3">
        <v>4229.3599999999997</v>
      </c>
      <c r="C36" s="3">
        <v>292.66000000000003</v>
      </c>
      <c r="D36" s="3">
        <v>1</v>
      </c>
      <c r="E36" s="3">
        <v>1.6</v>
      </c>
      <c r="F36"/>
      <c r="G36"/>
      <c r="H36"/>
      <c r="I36"/>
      <c r="J36"/>
      <c r="K36"/>
      <c r="L36"/>
      <c r="M36"/>
      <c r="N36"/>
      <c r="O36"/>
      <c r="P36"/>
      <c r="Q36"/>
      <c r="R36"/>
      <c r="S36"/>
      <c r="T36"/>
    </row>
    <row r="37" spans="1:20" x14ac:dyDescent="0.2">
      <c r="A37" s="45">
        <v>43014</v>
      </c>
      <c r="B37" s="3">
        <v>4328.41</v>
      </c>
      <c r="C37" s="3">
        <v>295.86</v>
      </c>
      <c r="D37" s="3">
        <v>1</v>
      </c>
      <c r="E37" s="3">
        <v>1.68</v>
      </c>
      <c r="F37"/>
      <c r="G37"/>
      <c r="H37"/>
      <c r="I37"/>
      <c r="J37"/>
      <c r="K37"/>
      <c r="L37"/>
      <c r="M37"/>
      <c r="N37"/>
      <c r="O37"/>
      <c r="P37"/>
      <c r="Q37"/>
      <c r="R37"/>
      <c r="S37"/>
      <c r="T37"/>
    </row>
    <row r="38" spans="1:20" x14ac:dyDescent="0.2">
      <c r="A38" s="45">
        <v>43015</v>
      </c>
      <c r="B38" s="3">
        <v>4370.8100000000004</v>
      </c>
      <c r="C38" s="3">
        <v>308.58999999999997</v>
      </c>
      <c r="D38" s="3">
        <v>1</v>
      </c>
      <c r="E38" s="3">
        <v>1.58</v>
      </c>
      <c r="F38"/>
      <c r="G38"/>
      <c r="H38"/>
      <c r="I38"/>
      <c r="J38"/>
      <c r="K38"/>
      <c r="L38"/>
      <c r="M38"/>
      <c r="N38"/>
      <c r="O38"/>
      <c r="P38"/>
      <c r="Q38"/>
      <c r="R38"/>
      <c r="S38"/>
      <c r="T38"/>
    </row>
    <row r="39" spans="1:20" x14ac:dyDescent="0.2">
      <c r="A39" s="45">
        <v>43016</v>
      </c>
      <c r="B39" s="3">
        <v>4426.8900000000003</v>
      </c>
      <c r="C39" s="3">
        <v>311.12</v>
      </c>
      <c r="D39" s="3">
        <v>0.99931999999999999</v>
      </c>
      <c r="E39" s="3">
        <v>1.58</v>
      </c>
      <c r="F39"/>
      <c r="G39"/>
      <c r="H39"/>
      <c r="I39"/>
      <c r="J39"/>
      <c r="K39"/>
      <c r="L39"/>
      <c r="M39"/>
      <c r="N39"/>
      <c r="O39"/>
      <c r="P39"/>
      <c r="Q39"/>
      <c r="R39"/>
      <c r="S39"/>
      <c r="T39"/>
    </row>
    <row r="40" spans="1:20" x14ac:dyDescent="0.2">
      <c r="A40" s="45">
        <v>43017</v>
      </c>
      <c r="B40" s="3">
        <v>4610.4799999999996</v>
      </c>
      <c r="C40" s="3">
        <v>308.61</v>
      </c>
      <c r="D40" s="3">
        <v>0.99844200000000005</v>
      </c>
      <c r="E40" s="3">
        <v>1.22</v>
      </c>
      <c r="F40"/>
      <c r="G40"/>
      <c r="H40"/>
      <c r="I40"/>
      <c r="J40"/>
      <c r="K40"/>
      <c r="L40"/>
      <c r="M40"/>
      <c r="N40"/>
      <c r="O40"/>
      <c r="P40"/>
      <c r="Q40"/>
      <c r="R40"/>
      <c r="S40"/>
      <c r="T40"/>
    </row>
    <row r="41" spans="1:20" x14ac:dyDescent="0.2">
      <c r="A41" s="45">
        <v>43018</v>
      </c>
      <c r="B41" s="3">
        <v>4772.0200000000004</v>
      </c>
      <c r="C41" s="3">
        <v>297.39</v>
      </c>
      <c r="D41" s="3">
        <v>0.99978</v>
      </c>
      <c r="E41" s="3">
        <v>1.4</v>
      </c>
      <c r="F41"/>
      <c r="G41"/>
      <c r="H41"/>
      <c r="I41"/>
      <c r="J41"/>
      <c r="K41"/>
      <c r="L41"/>
      <c r="M41"/>
      <c r="N41"/>
      <c r="O41"/>
      <c r="P41"/>
      <c r="Q41"/>
      <c r="R41"/>
      <c r="S41"/>
      <c r="T41"/>
    </row>
    <row r="42" spans="1:20" x14ac:dyDescent="0.2">
      <c r="A42" s="45">
        <v>43019</v>
      </c>
      <c r="B42" s="3">
        <v>4781.99</v>
      </c>
      <c r="C42" s="3">
        <v>299.87</v>
      </c>
      <c r="D42" s="3">
        <v>0.99944100000000002</v>
      </c>
      <c r="E42" s="3">
        <v>1.39</v>
      </c>
      <c r="F42"/>
      <c r="G42"/>
      <c r="H42"/>
      <c r="I42"/>
      <c r="J42"/>
      <c r="K42"/>
      <c r="L42"/>
      <c r="M42"/>
      <c r="N42"/>
      <c r="O42"/>
      <c r="P42"/>
      <c r="Q42"/>
      <c r="R42"/>
      <c r="S42"/>
      <c r="T42"/>
    </row>
    <row r="43" spans="1:20" x14ac:dyDescent="0.2">
      <c r="A43" s="45">
        <v>43020</v>
      </c>
      <c r="B43" s="3">
        <v>4826.4799999999996</v>
      </c>
      <c r="C43" s="3">
        <v>303.45999999999998</v>
      </c>
      <c r="D43" s="3">
        <v>0.99862499999999998</v>
      </c>
      <c r="E43" s="3">
        <v>1.43</v>
      </c>
      <c r="F43"/>
      <c r="G43"/>
      <c r="H43"/>
      <c r="I43"/>
      <c r="J43"/>
      <c r="K43"/>
      <c r="L43"/>
      <c r="M43"/>
      <c r="N43"/>
      <c r="O43"/>
      <c r="P43"/>
      <c r="Q43"/>
      <c r="R43"/>
      <c r="S43"/>
      <c r="T43"/>
    </row>
    <row r="44" spans="1:20" x14ac:dyDescent="0.2">
      <c r="A44" s="45">
        <v>43021</v>
      </c>
      <c r="B44" s="3">
        <v>5446.91</v>
      </c>
      <c r="C44" s="3">
        <v>304.14</v>
      </c>
      <c r="D44" s="3">
        <v>0.99742299999999995</v>
      </c>
      <c r="E44" s="3">
        <v>1.34</v>
      </c>
      <c r="F44"/>
      <c r="G44"/>
      <c r="H44"/>
      <c r="I44"/>
      <c r="J44"/>
      <c r="K44"/>
      <c r="L44"/>
      <c r="M44"/>
      <c r="N44"/>
      <c r="O44"/>
      <c r="P44"/>
      <c r="Q44"/>
      <c r="R44"/>
      <c r="S44"/>
      <c r="T44"/>
    </row>
    <row r="45" spans="1:20" x14ac:dyDescent="0.2">
      <c r="A45" s="45">
        <v>43022</v>
      </c>
      <c r="B45" s="3">
        <v>5647.21</v>
      </c>
      <c r="C45" s="3">
        <v>338.76</v>
      </c>
      <c r="D45" s="3">
        <v>1</v>
      </c>
      <c r="E45" s="3">
        <v>1.44</v>
      </c>
      <c r="F45"/>
      <c r="G45"/>
      <c r="H45"/>
      <c r="I45"/>
      <c r="J45"/>
      <c r="K45"/>
      <c r="L45"/>
      <c r="M45"/>
      <c r="N45"/>
      <c r="O45"/>
      <c r="P45"/>
      <c r="Q45"/>
      <c r="R45"/>
      <c r="S45"/>
      <c r="T45"/>
    </row>
    <row r="46" spans="1:20" x14ac:dyDescent="0.2">
      <c r="A46" s="45">
        <v>43023</v>
      </c>
      <c r="B46" s="3">
        <v>5831.79</v>
      </c>
      <c r="C46" s="3">
        <v>339.63</v>
      </c>
      <c r="D46" s="3">
        <v>0.99970899999999996</v>
      </c>
      <c r="E46" s="3">
        <v>1.54</v>
      </c>
      <c r="F46"/>
      <c r="G46"/>
      <c r="H46"/>
      <c r="I46"/>
      <c r="J46"/>
      <c r="K46"/>
      <c r="L46"/>
      <c r="M46"/>
      <c r="N46"/>
      <c r="O46"/>
      <c r="P46"/>
      <c r="Q46"/>
      <c r="R46"/>
      <c r="S46"/>
      <c r="T46"/>
    </row>
    <row r="47" spans="1:20" x14ac:dyDescent="0.2">
      <c r="A47" s="45">
        <v>43024</v>
      </c>
      <c r="B47" s="3">
        <v>5678.19</v>
      </c>
      <c r="C47" s="3">
        <v>336.6</v>
      </c>
      <c r="D47" s="3">
        <v>0.99924199999999996</v>
      </c>
      <c r="E47" s="3">
        <v>1.56</v>
      </c>
      <c r="F47"/>
      <c r="G47"/>
      <c r="H47"/>
      <c r="I47"/>
      <c r="J47"/>
      <c r="K47"/>
      <c r="L47"/>
      <c r="M47"/>
      <c r="N47"/>
      <c r="O47"/>
      <c r="P47"/>
      <c r="Q47"/>
      <c r="R47"/>
      <c r="S47"/>
      <c r="T47"/>
    </row>
    <row r="48" spans="1:20" x14ac:dyDescent="0.2">
      <c r="A48" s="45">
        <v>43025</v>
      </c>
      <c r="B48" s="3">
        <v>5725.59</v>
      </c>
      <c r="C48" s="3">
        <v>333.38</v>
      </c>
      <c r="D48" s="3">
        <v>0.99800999999999995</v>
      </c>
      <c r="E48" s="3">
        <v>1.44</v>
      </c>
      <c r="F48"/>
      <c r="G48"/>
      <c r="H48"/>
      <c r="I48"/>
      <c r="J48"/>
      <c r="K48"/>
      <c r="L48"/>
      <c r="M48"/>
      <c r="N48"/>
      <c r="O48"/>
      <c r="P48"/>
      <c r="Q48"/>
      <c r="R48"/>
      <c r="S48"/>
      <c r="T48"/>
    </row>
    <row r="49" spans="1:20" x14ac:dyDescent="0.2">
      <c r="A49" s="45">
        <v>43026</v>
      </c>
      <c r="B49" s="3">
        <v>5605.51</v>
      </c>
      <c r="C49" s="3">
        <v>317.08</v>
      </c>
      <c r="D49" s="3">
        <v>0.99933499999999997</v>
      </c>
      <c r="E49" s="3">
        <v>1.39</v>
      </c>
      <c r="F49"/>
      <c r="G49"/>
      <c r="H49"/>
      <c r="I49"/>
      <c r="J49"/>
      <c r="K49"/>
      <c r="L49"/>
      <c r="M49"/>
      <c r="N49"/>
      <c r="O49"/>
      <c r="P49"/>
      <c r="Q49"/>
      <c r="R49"/>
      <c r="S49"/>
      <c r="T49"/>
    </row>
    <row r="50" spans="1:20" x14ac:dyDescent="0.2">
      <c r="A50" s="45">
        <v>43027</v>
      </c>
      <c r="B50" s="3">
        <v>5590.69</v>
      </c>
      <c r="C50" s="3">
        <v>314.32</v>
      </c>
      <c r="D50" s="3">
        <v>1</v>
      </c>
      <c r="E50" s="3">
        <v>1.33</v>
      </c>
      <c r="F50"/>
      <c r="G50"/>
      <c r="H50"/>
      <c r="I50"/>
      <c r="J50"/>
      <c r="K50"/>
      <c r="L50"/>
      <c r="M50"/>
      <c r="N50"/>
      <c r="O50"/>
      <c r="P50"/>
      <c r="Q50"/>
      <c r="R50"/>
      <c r="S50"/>
      <c r="T50"/>
    </row>
    <row r="51" spans="1:20" x14ac:dyDescent="0.2">
      <c r="A51" s="45">
        <v>43028</v>
      </c>
      <c r="B51" s="3">
        <v>5708.52</v>
      </c>
      <c r="C51" s="3">
        <v>308.08999999999997</v>
      </c>
      <c r="D51" s="3">
        <v>1</v>
      </c>
      <c r="E51" s="3">
        <v>1.28</v>
      </c>
      <c r="F51"/>
      <c r="G51"/>
      <c r="H51"/>
      <c r="I51"/>
      <c r="J51"/>
      <c r="K51"/>
      <c r="L51"/>
      <c r="M51"/>
      <c r="N51"/>
      <c r="O51"/>
      <c r="P51"/>
      <c r="Q51"/>
      <c r="R51"/>
      <c r="S51"/>
      <c r="T51"/>
    </row>
    <row r="52" spans="1:20" x14ac:dyDescent="0.2">
      <c r="A52" s="45">
        <v>43029</v>
      </c>
      <c r="B52" s="3">
        <v>6011.45</v>
      </c>
      <c r="C52" s="3">
        <v>304.01</v>
      </c>
      <c r="D52" s="3">
        <v>1</v>
      </c>
      <c r="E52" s="3">
        <v>1.24</v>
      </c>
      <c r="F52"/>
      <c r="G52"/>
      <c r="H52"/>
      <c r="I52"/>
      <c r="J52"/>
      <c r="K52"/>
      <c r="L52"/>
      <c r="M52"/>
      <c r="N52"/>
      <c r="O52"/>
      <c r="P52"/>
      <c r="Q52"/>
      <c r="R52"/>
      <c r="S52"/>
      <c r="T52"/>
    </row>
    <row r="53" spans="1:20" x14ac:dyDescent="0.2">
      <c r="A53" s="45">
        <v>43030</v>
      </c>
      <c r="B53" s="3">
        <v>6031.6</v>
      </c>
      <c r="C53" s="3">
        <v>300.19</v>
      </c>
      <c r="D53" s="3">
        <v>1</v>
      </c>
      <c r="E53" s="3">
        <v>1.25</v>
      </c>
      <c r="F53"/>
      <c r="G53"/>
      <c r="H53"/>
      <c r="I53"/>
      <c r="J53"/>
      <c r="K53"/>
      <c r="L53"/>
      <c r="M53"/>
      <c r="N53"/>
      <c r="O53"/>
      <c r="P53"/>
      <c r="Q53"/>
      <c r="R53"/>
      <c r="S53"/>
      <c r="T53"/>
    </row>
    <row r="54" spans="1:20" x14ac:dyDescent="0.2">
      <c r="A54" s="45">
        <v>43031</v>
      </c>
      <c r="B54" s="3">
        <v>6008.42</v>
      </c>
      <c r="C54" s="3">
        <v>295.45</v>
      </c>
      <c r="D54" s="3">
        <v>1</v>
      </c>
      <c r="E54" s="3">
        <v>1.21</v>
      </c>
      <c r="F54"/>
      <c r="G54"/>
      <c r="H54"/>
      <c r="I54"/>
      <c r="J54"/>
      <c r="K54"/>
      <c r="L54"/>
      <c r="M54"/>
      <c r="N54"/>
      <c r="O54"/>
      <c r="P54"/>
      <c r="Q54"/>
      <c r="R54"/>
      <c r="S54"/>
      <c r="T54"/>
    </row>
    <row r="55" spans="1:20" x14ac:dyDescent="0.2">
      <c r="A55" s="45">
        <v>43032</v>
      </c>
      <c r="B55" s="3">
        <v>5930.32</v>
      </c>
      <c r="C55" s="3">
        <v>286.95</v>
      </c>
      <c r="D55" s="3">
        <v>0.99653599999999998</v>
      </c>
      <c r="E55" s="3">
        <v>1.18</v>
      </c>
      <c r="F55"/>
      <c r="G55"/>
      <c r="H55"/>
      <c r="I55"/>
      <c r="J55"/>
      <c r="K55"/>
      <c r="L55"/>
      <c r="M55"/>
      <c r="N55"/>
      <c r="O55"/>
      <c r="P55"/>
      <c r="Q55"/>
      <c r="R55"/>
      <c r="S55"/>
      <c r="T55"/>
    </row>
    <row r="56" spans="1:20" x14ac:dyDescent="0.2">
      <c r="A56" s="45">
        <v>43033</v>
      </c>
      <c r="B56" s="3">
        <v>5526.64</v>
      </c>
      <c r="C56" s="3">
        <v>298.33</v>
      </c>
      <c r="D56" s="3">
        <v>1</v>
      </c>
      <c r="E56" s="3">
        <v>1.25</v>
      </c>
      <c r="F56"/>
      <c r="G56"/>
      <c r="H56"/>
      <c r="I56"/>
      <c r="J56"/>
      <c r="K56"/>
      <c r="L56"/>
      <c r="M56"/>
      <c r="N56"/>
      <c r="O56"/>
      <c r="P56"/>
      <c r="Q56"/>
      <c r="R56"/>
      <c r="S56"/>
      <c r="T56"/>
    </row>
    <row r="57" spans="1:20" x14ac:dyDescent="0.2">
      <c r="A57" s="45">
        <v>43034</v>
      </c>
      <c r="B57" s="3">
        <v>5750.8</v>
      </c>
      <c r="C57" s="3">
        <v>297.93</v>
      </c>
      <c r="D57" s="3">
        <v>1</v>
      </c>
      <c r="E57" s="3">
        <v>1.25</v>
      </c>
      <c r="F57"/>
      <c r="G57"/>
      <c r="H57"/>
      <c r="I57"/>
      <c r="J57"/>
      <c r="K57"/>
      <c r="L57"/>
      <c r="M57"/>
      <c r="N57"/>
      <c r="O57"/>
      <c r="P57"/>
      <c r="Q57"/>
      <c r="R57"/>
      <c r="S57"/>
      <c r="T57"/>
    </row>
    <row r="58" spans="1:20" x14ac:dyDescent="0.2">
      <c r="A58" s="45">
        <v>43035</v>
      </c>
      <c r="B58" s="3">
        <v>5904.83</v>
      </c>
      <c r="C58" s="3">
        <v>296.52999999999997</v>
      </c>
      <c r="D58" s="3">
        <v>0.99986799999999998</v>
      </c>
      <c r="E58" s="3">
        <v>1.21</v>
      </c>
      <c r="F58"/>
      <c r="G58"/>
      <c r="H58"/>
      <c r="I58"/>
      <c r="J58"/>
      <c r="K58"/>
      <c r="L58"/>
      <c r="M58"/>
      <c r="N58"/>
      <c r="O58"/>
      <c r="P58"/>
      <c r="Q58"/>
      <c r="R58"/>
      <c r="S58"/>
      <c r="T58"/>
    </row>
    <row r="59" spans="1:20" x14ac:dyDescent="0.2">
      <c r="A59" s="45">
        <v>43036</v>
      </c>
      <c r="B59" s="3">
        <v>5780.9</v>
      </c>
      <c r="C59" s="3">
        <v>297.42</v>
      </c>
      <c r="D59" s="3">
        <v>1</v>
      </c>
      <c r="E59" s="3">
        <v>1.17</v>
      </c>
      <c r="F59"/>
      <c r="G59"/>
      <c r="H59"/>
      <c r="I59"/>
      <c r="J59"/>
      <c r="K59"/>
      <c r="L59"/>
      <c r="M59"/>
      <c r="N59"/>
      <c r="O59"/>
      <c r="P59"/>
      <c r="Q59"/>
      <c r="R59"/>
      <c r="S59"/>
      <c r="T59"/>
    </row>
    <row r="60" spans="1:20" x14ac:dyDescent="0.2">
      <c r="A60" s="45">
        <v>43037</v>
      </c>
      <c r="B60" s="3">
        <v>5753.09</v>
      </c>
      <c r="C60" s="3">
        <v>296.3</v>
      </c>
      <c r="D60" s="3">
        <v>1</v>
      </c>
      <c r="E60" s="3">
        <v>1.1499999999999999</v>
      </c>
      <c r="F60"/>
      <c r="G60"/>
      <c r="H60"/>
      <c r="I60"/>
      <c r="J60"/>
      <c r="K60"/>
      <c r="L60"/>
      <c r="M60"/>
      <c r="N60"/>
      <c r="O60"/>
      <c r="P60"/>
      <c r="Q60"/>
      <c r="R60"/>
      <c r="S60"/>
      <c r="T60"/>
    </row>
    <row r="61" spans="1:20" x14ac:dyDescent="0.2">
      <c r="A61" s="45">
        <v>43038</v>
      </c>
      <c r="B61" s="3">
        <v>6153.85</v>
      </c>
      <c r="C61" s="3">
        <v>305.08999999999997</v>
      </c>
      <c r="D61" s="3">
        <v>1</v>
      </c>
      <c r="E61" s="3">
        <v>1.24</v>
      </c>
      <c r="F61"/>
      <c r="G61"/>
      <c r="H61"/>
      <c r="I61"/>
      <c r="J61"/>
      <c r="K61"/>
      <c r="L61"/>
      <c r="M61"/>
      <c r="N61"/>
      <c r="O61"/>
      <c r="P61"/>
      <c r="Q61"/>
      <c r="R61"/>
      <c r="S61"/>
      <c r="T61"/>
    </row>
    <row r="62" spans="1:20" x14ac:dyDescent="0.2">
      <c r="A62" s="45">
        <v>43039</v>
      </c>
      <c r="B62" s="3">
        <v>6130.53</v>
      </c>
      <c r="C62" s="3">
        <v>307.75</v>
      </c>
      <c r="D62" s="3">
        <v>1</v>
      </c>
      <c r="E62" s="3">
        <v>1.31</v>
      </c>
      <c r="F62"/>
      <c r="G62"/>
      <c r="H62"/>
      <c r="I62"/>
      <c r="J62"/>
      <c r="K62"/>
      <c r="L62"/>
      <c r="M62"/>
      <c r="N62"/>
      <c r="O62"/>
      <c r="P62"/>
      <c r="Q62"/>
      <c r="R62"/>
      <c r="S62"/>
      <c r="T62"/>
    </row>
    <row r="63" spans="1:20" x14ac:dyDescent="0.2">
      <c r="A63" s="45">
        <v>43040</v>
      </c>
      <c r="B63" s="3">
        <v>6468.4</v>
      </c>
      <c r="C63" s="3">
        <v>305.88</v>
      </c>
      <c r="D63" s="3">
        <v>1</v>
      </c>
      <c r="E63" s="3">
        <v>1.31</v>
      </c>
      <c r="F63"/>
      <c r="G63"/>
      <c r="H63"/>
      <c r="I63"/>
      <c r="J63"/>
      <c r="K63"/>
      <c r="L63"/>
      <c r="M63"/>
      <c r="N63"/>
      <c r="O63"/>
      <c r="P63"/>
      <c r="Q63"/>
      <c r="R63"/>
      <c r="S63"/>
      <c r="T63"/>
    </row>
    <row r="64" spans="1:20" x14ac:dyDescent="0.2">
      <c r="A64" s="45">
        <v>43041</v>
      </c>
      <c r="B64" s="3">
        <v>6767.31</v>
      </c>
      <c r="C64" s="3">
        <v>291.69</v>
      </c>
      <c r="D64" s="3">
        <v>1</v>
      </c>
      <c r="E64" s="3">
        <v>1.26</v>
      </c>
      <c r="F64"/>
      <c r="G64"/>
      <c r="H64"/>
      <c r="I64"/>
      <c r="J64"/>
      <c r="K64"/>
      <c r="L64"/>
      <c r="M64"/>
      <c r="N64"/>
      <c r="O64"/>
      <c r="P64"/>
      <c r="Q64"/>
      <c r="R64"/>
      <c r="S64"/>
      <c r="T64"/>
    </row>
    <row r="65" spans="1:20" x14ac:dyDescent="0.2">
      <c r="A65" s="45">
        <v>43042</v>
      </c>
      <c r="B65" s="3">
        <v>7078.5</v>
      </c>
      <c r="C65" s="3">
        <v>287.43</v>
      </c>
      <c r="D65" s="3">
        <v>1</v>
      </c>
      <c r="E65" s="3">
        <v>1.3</v>
      </c>
      <c r="F65"/>
      <c r="G65"/>
      <c r="H65"/>
      <c r="I65"/>
      <c r="J65"/>
      <c r="K65"/>
      <c r="L65"/>
      <c r="M65"/>
      <c r="N65"/>
      <c r="O65"/>
      <c r="P65"/>
      <c r="Q65"/>
      <c r="R65"/>
      <c r="S65"/>
      <c r="T65"/>
    </row>
    <row r="66" spans="1:20" x14ac:dyDescent="0.2">
      <c r="A66" s="45">
        <v>43043</v>
      </c>
      <c r="B66" s="3">
        <v>7207.76</v>
      </c>
      <c r="C66" s="3">
        <v>305.70999999999998</v>
      </c>
      <c r="D66" s="3">
        <v>1.01</v>
      </c>
      <c r="E66" s="3">
        <v>1.46</v>
      </c>
      <c r="F66"/>
      <c r="G66"/>
      <c r="H66"/>
      <c r="I66"/>
      <c r="J66"/>
      <c r="K66"/>
      <c r="L66"/>
      <c r="M66"/>
      <c r="N66"/>
      <c r="O66"/>
      <c r="P66"/>
      <c r="Q66"/>
      <c r="R66"/>
      <c r="S66"/>
      <c r="T66"/>
    </row>
    <row r="67" spans="1:20" x14ac:dyDescent="0.2">
      <c r="A67" s="45">
        <v>43044</v>
      </c>
      <c r="B67" s="3">
        <v>7379.95</v>
      </c>
      <c r="C67" s="3">
        <v>300.47000000000003</v>
      </c>
      <c r="D67" s="3">
        <v>1</v>
      </c>
      <c r="E67" s="3">
        <v>1.64</v>
      </c>
      <c r="F67"/>
      <c r="G67"/>
      <c r="H67"/>
      <c r="I67"/>
      <c r="J67"/>
      <c r="K67"/>
      <c r="L67"/>
      <c r="M67"/>
      <c r="N67"/>
      <c r="O67"/>
      <c r="P67"/>
      <c r="Q67"/>
      <c r="R67"/>
      <c r="S67"/>
      <c r="T67"/>
    </row>
    <row r="68" spans="1:20" x14ac:dyDescent="0.2">
      <c r="A68" s="45">
        <v>43045</v>
      </c>
      <c r="B68" s="3">
        <v>7407.41</v>
      </c>
      <c r="C68" s="3">
        <v>296.26</v>
      </c>
      <c r="D68" s="3">
        <v>0.99880000000000002</v>
      </c>
      <c r="E68" s="3">
        <v>1.52</v>
      </c>
      <c r="F68"/>
      <c r="G68"/>
      <c r="H68"/>
      <c r="I68"/>
      <c r="J68"/>
      <c r="K68"/>
      <c r="L68"/>
      <c r="M68"/>
      <c r="N68"/>
      <c r="O68"/>
      <c r="P68"/>
      <c r="Q68"/>
      <c r="R68"/>
      <c r="S68"/>
      <c r="T68"/>
    </row>
    <row r="69" spans="1:20" x14ac:dyDescent="0.2">
      <c r="A69" s="45">
        <v>43046</v>
      </c>
      <c r="B69" s="3">
        <v>7022.76</v>
      </c>
      <c r="C69" s="3">
        <v>298.89</v>
      </c>
      <c r="D69" s="3">
        <v>1</v>
      </c>
      <c r="E69" s="3">
        <v>1.57</v>
      </c>
      <c r="F69"/>
      <c r="G69"/>
      <c r="H69"/>
      <c r="I69"/>
      <c r="J69"/>
      <c r="K69"/>
      <c r="L69"/>
      <c r="M69"/>
      <c r="N69"/>
      <c r="O69"/>
      <c r="P69"/>
      <c r="Q69"/>
      <c r="R69"/>
      <c r="S69"/>
      <c r="T69"/>
    </row>
    <row r="70" spans="1:20" x14ac:dyDescent="0.2">
      <c r="A70" s="45">
        <v>43047</v>
      </c>
      <c r="B70" s="3">
        <v>7144.38</v>
      </c>
      <c r="C70" s="3">
        <v>294.66000000000003</v>
      </c>
      <c r="D70" s="3">
        <v>1.01</v>
      </c>
      <c r="E70" s="3">
        <v>1.81</v>
      </c>
      <c r="F70"/>
      <c r="G70"/>
      <c r="H70"/>
      <c r="I70"/>
      <c r="J70"/>
      <c r="K70"/>
      <c r="L70"/>
      <c r="M70"/>
      <c r="N70"/>
      <c r="O70"/>
      <c r="P70"/>
      <c r="Q70"/>
      <c r="R70"/>
      <c r="S70"/>
      <c r="T70"/>
    </row>
    <row r="71" spans="1:20" x14ac:dyDescent="0.2">
      <c r="A71" s="45">
        <v>43048</v>
      </c>
      <c r="B71" s="3">
        <v>7459.69</v>
      </c>
      <c r="C71" s="3">
        <v>309.07</v>
      </c>
      <c r="D71" s="3">
        <v>1.01</v>
      </c>
      <c r="E71" s="3">
        <v>2.0299999999999998</v>
      </c>
      <c r="F71"/>
      <c r="G71"/>
      <c r="H71"/>
      <c r="I71"/>
      <c r="J71"/>
      <c r="K71"/>
      <c r="L71"/>
      <c r="M71"/>
      <c r="N71"/>
      <c r="O71"/>
      <c r="P71"/>
      <c r="Q71"/>
      <c r="R71"/>
      <c r="S71"/>
      <c r="T71"/>
    </row>
    <row r="72" spans="1:20" x14ac:dyDescent="0.2">
      <c r="A72" s="45">
        <v>43049</v>
      </c>
      <c r="B72" s="3">
        <v>7143.58</v>
      </c>
      <c r="C72" s="3">
        <v>320.88</v>
      </c>
      <c r="D72" s="3">
        <v>1.01</v>
      </c>
      <c r="E72" s="3">
        <v>1.99</v>
      </c>
      <c r="F72"/>
      <c r="G72"/>
      <c r="H72"/>
      <c r="I72"/>
      <c r="J72"/>
      <c r="K72"/>
      <c r="L72"/>
      <c r="M72"/>
      <c r="N72"/>
      <c r="O72"/>
      <c r="P72"/>
      <c r="Q72"/>
      <c r="R72"/>
      <c r="S72"/>
      <c r="T72"/>
    </row>
    <row r="73" spans="1:20" x14ac:dyDescent="0.2">
      <c r="A73" s="45">
        <v>43050</v>
      </c>
      <c r="B73" s="3">
        <v>6618.14</v>
      </c>
      <c r="C73" s="3">
        <v>299.25</v>
      </c>
      <c r="D73" s="3">
        <v>1.01</v>
      </c>
      <c r="E73" s="3">
        <v>1.8</v>
      </c>
      <c r="F73"/>
      <c r="G73"/>
      <c r="H73"/>
      <c r="I73"/>
      <c r="J73"/>
      <c r="K73"/>
      <c r="L73"/>
      <c r="M73"/>
      <c r="N73"/>
      <c r="O73"/>
      <c r="P73"/>
      <c r="Q73"/>
      <c r="R73"/>
      <c r="S73"/>
      <c r="T73"/>
    </row>
    <row r="74" spans="1:20" x14ac:dyDescent="0.2">
      <c r="A74" s="45">
        <v>43051</v>
      </c>
      <c r="B74" s="3">
        <v>6357.6</v>
      </c>
      <c r="C74" s="3">
        <v>314.68</v>
      </c>
      <c r="D74" s="3">
        <v>1.01</v>
      </c>
      <c r="E74" s="3">
        <v>1.67</v>
      </c>
      <c r="F74"/>
      <c r="G74"/>
      <c r="H74"/>
      <c r="I74"/>
      <c r="J74"/>
      <c r="K74"/>
      <c r="L74"/>
      <c r="M74"/>
      <c r="N74"/>
      <c r="O74"/>
      <c r="P74"/>
      <c r="Q74"/>
      <c r="R74"/>
      <c r="S74"/>
      <c r="T74"/>
    </row>
    <row r="75" spans="1:20" x14ac:dyDescent="0.2">
      <c r="A75" s="45">
        <v>43052</v>
      </c>
      <c r="B75" s="3">
        <v>5950.07</v>
      </c>
      <c r="C75" s="3">
        <v>307.91000000000003</v>
      </c>
      <c r="D75" s="3">
        <v>1.01</v>
      </c>
      <c r="E75" s="3">
        <v>1.52</v>
      </c>
      <c r="F75"/>
      <c r="G75"/>
      <c r="H75"/>
      <c r="I75"/>
      <c r="J75"/>
      <c r="K75"/>
      <c r="L75"/>
      <c r="M75"/>
      <c r="N75"/>
      <c r="O75"/>
      <c r="P75"/>
      <c r="Q75"/>
      <c r="R75"/>
      <c r="S75"/>
      <c r="T75"/>
    </row>
    <row r="76" spans="1:20" x14ac:dyDescent="0.2">
      <c r="A76" s="45">
        <v>43053</v>
      </c>
      <c r="B76" s="3">
        <v>6559.49</v>
      </c>
      <c r="C76" s="3">
        <v>316.72000000000003</v>
      </c>
      <c r="D76" s="3">
        <v>1.01</v>
      </c>
      <c r="E76" s="3">
        <v>1.69</v>
      </c>
      <c r="F76"/>
      <c r="G76"/>
      <c r="H76"/>
      <c r="I76"/>
      <c r="J76"/>
      <c r="K76"/>
      <c r="L76"/>
      <c r="M76"/>
      <c r="N76"/>
      <c r="O76"/>
      <c r="P76"/>
      <c r="Q76"/>
      <c r="R76"/>
      <c r="S76"/>
      <c r="T76"/>
    </row>
    <row r="77" spans="1:20" x14ac:dyDescent="0.2">
      <c r="A77" s="45">
        <v>43054</v>
      </c>
      <c r="B77" s="3">
        <v>6635.75</v>
      </c>
      <c r="C77" s="3">
        <v>337.63</v>
      </c>
      <c r="D77" s="3">
        <v>1.01</v>
      </c>
      <c r="E77" s="3">
        <v>1.59</v>
      </c>
      <c r="F77"/>
      <c r="G77"/>
      <c r="H77"/>
      <c r="I77"/>
      <c r="J77"/>
      <c r="K77"/>
      <c r="L77"/>
      <c r="M77"/>
      <c r="N77"/>
      <c r="O77"/>
      <c r="P77"/>
      <c r="Q77"/>
      <c r="R77"/>
      <c r="S77"/>
      <c r="T77"/>
    </row>
    <row r="78" spans="1:20" x14ac:dyDescent="0.2">
      <c r="A78" s="45">
        <v>43055</v>
      </c>
      <c r="B78" s="3">
        <v>7315.54</v>
      </c>
      <c r="C78" s="3">
        <v>333.36</v>
      </c>
      <c r="D78" s="3">
        <v>1</v>
      </c>
      <c r="E78" s="3">
        <v>1.53</v>
      </c>
      <c r="F78"/>
      <c r="G78"/>
      <c r="H78"/>
      <c r="I78"/>
      <c r="J78"/>
      <c r="K78"/>
      <c r="L78"/>
      <c r="M78"/>
      <c r="N78"/>
      <c r="O78"/>
      <c r="P78"/>
      <c r="Q78"/>
      <c r="R78"/>
      <c r="S78"/>
      <c r="T78"/>
    </row>
    <row r="79" spans="1:20" x14ac:dyDescent="0.2">
      <c r="A79" s="45">
        <v>43056</v>
      </c>
      <c r="B79" s="3">
        <v>7871.69</v>
      </c>
      <c r="C79" s="3">
        <v>330.92</v>
      </c>
      <c r="D79" s="3">
        <v>1</v>
      </c>
      <c r="E79" s="3">
        <v>1.58</v>
      </c>
      <c r="F79"/>
      <c r="G79"/>
      <c r="H79"/>
      <c r="I79"/>
      <c r="J79"/>
      <c r="K79"/>
      <c r="L79"/>
      <c r="M79"/>
      <c r="N79"/>
      <c r="O79"/>
      <c r="P79"/>
      <c r="Q79"/>
      <c r="R79"/>
      <c r="S79"/>
      <c r="T79"/>
    </row>
    <row r="80" spans="1:20" x14ac:dyDescent="0.2">
      <c r="A80" s="45">
        <v>43057</v>
      </c>
      <c r="B80" s="3">
        <v>7708.99</v>
      </c>
      <c r="C80" s="3">
        <v>332.39</v>
      </c>
      <c r="D80" s="3">
        <v>1</v>
      </c>
      <c r="E80" s="3">
        <v>1.51</v>
      </c>
      <c r="F80"/>
      <c r="G80"/>
      <c r="H80"/>
      <c r="I80"/>
      <c r="J80"/>
      <c r="K80"/>
      <c r="L80"/>
      <c r="M80"/>
      <c r="N80"/>
      <c r="O80"/>
      <c r="P80"/>
      <c r="Q80"/>
      <c r="R80"/>
      <c r="S80"/>
      <c r="T80"/>
    </row>
    <row r="81" spans="1:20" x14ac:dyDescent="0.2">
      <c r="A81" s="45">
        <v>43058</v>
      </c>
      <c r="B81" s="3">
        <v>7790.15</v>
      </c>
      <c r="C81" s="3">
        <v>347.61</v>
      </c>
      <c r="D81" s="3">
        <v>1</v>
      </c>
      <c r="E81" s="3">
        <v>1.67</v>
      </c>
      <c r="F81"/>
      <c r="G81"/>
      <c r="H81"/>
      <c r="I81"/>
      <c r="J81"/>
      <c r="K81"/>
      <c r="L81"/>
      <c r="M81"/>
      <c r="N81"/>
      <c r="O81"/>
      <c r="P81"/>
      <c r="Q81"/>
      <c r="R81"/>
      <c r="S81"/>
      <c r="T81"/>
    </row>
    <row r="82" spans="1:20" x14ac:dyDescent="0.2">
      <c r="A82" s="45">
        <v>43059</v>
      </c>
      <c r="B82" s="3">
        <v>8036.49</v>
      </c>
      <c r="C82" s="3">
        <v>354.39</v>
      </c>
      <c r="D82" s="3">
        <v>1</v>
      </c>
      <c r="E82" s="3">
        <v>1.61</v>
      </c>
      <c r="F82"/>
      <c r="G82"/>
      <c r="H82"/>
      <c r="I82"/>
      <c r="J82"/>
      <c r="K82"/>
      <c r="L82"/>
      <c r="M82"/>
      <c r="N82"/>
      <c r="O82"/>
      <c r="P82"/>
      <c r="Q82"/>
      <c r="R82"/>
      <c r="S82"/>
      <c r="T82"/>
    </row>
    <row r="83" spans="1:20" x14ac:dyDescent="0.2">
      <c r="A83" s="45">
        <v>43060</v>
      </c>
      <c r="B83" s="3">
        <v>8200.64</v>
      </c>
      <c r="C83" s="3">
        <v>366.73</v>
      </c>
      <c r="D83" s="3">
        <v>1</v>
      </c>
      <c r="E83" s="3">
        <v>1.62</v>
      </c>
      <c r="F83"/>
      <c r="G83"/>
      <c r="H83"/>
      <c r="I83"/>
      <c r="J83"/>
      <c r="K83"/>
      <c r="L83"/>
      <c r="M83"/>
      <c r="N83"/>
      <c r="O83"/>
      <c r="P83"/>
      <c r="Q83"/>
      <c r="R83"/>
      <c r="S83"/>
      <c r="T83"/>
    </row>
    <row r="84" spans="1:20" x14ac:dyDescent="0.2">
      <c r="A84" s="45">
        <v>43061</v>
      </c>
      <c r="B84" s="3">
        <v>8071.26</v>
      </c>
      <c r="C84" s="3">
        <v>360.4</v>
      </c>
      <c r="D84" s="3">
        <v>0.99604700000000002</v>
      </c>
      <c r="E84" s="3">
        <v>1.57</v>
      </c>
      <c r="F84"/>
      <c r="G84"/>
      <c r="H84"/>
      <c r="I84"/>
      <c r="J84"/>
      <c r="K84"/>
      <c r="L84"/>
      <c r="M84"/>
      <c r="N84"/>
      <c r="O84"/>
      <c r="P84"/>
      <c r="Q84"/>
      <c r="R84"/>
      <c r="S84"/>
      <c r="T84"/>
    </row>
    <row r="85" spans="1:20" x14ac:dyDescent="0.2">
      <c r="A85" s="45">
        <v>43062</v>
      </c>
      <c r="B85" s="3">
        <v>8253.5499999999993</v>
      </c>
      <c r="C85" s="3">
        <v>380.65</v>
      </c>
      <c r="D85" s="3">
        <v>1</v>
      </c>
      <c r="E85" s="3">
        <v>1.61</v>
      </c>
      <c r="F85"/>
      <c r="G85"/>
      <c r="H85"/>
      <c r="I85"/>
      <c r="J85"/>
      <c r="K85"/>
      <c r="L85"/>
      <c r="M85"/>
      <c r="N85"/>
      <c r="O85"/>
      <c r="P85"/>
      <c r="Q85"/>
      <c r="R85"/>
      <c r="S85"/>
      <c r="T85"/>
    </row>
    <row r="86" spans="1:20" x14ac:dyDescent="0.2">
      <c r="A86" s="45">
        <v>43063</v>
      </c>
      <c r="B86" s="3">
        <v>8038.77</v>
      </c>
      <c r="C86" s="3">
        <v>410.17</v>
      </c>
      <c r="D86" s="3">
        <v>0.99463100000000004</v>
      </c>
      <c r="E86" s="3">
        <v>1.55</v>
      </c>
      <c r="F86"/>
      <c r="G86"/>
      <c r="H86"/>
      <c r="I86"/>
      <c r="J86"/>
      <c r="K86"/>
      <c r="L86"/>
      <c r="M86"/>
      <c r="N86"/>
      <c r="O86"/>
      <c r="P86"/>
      <c r="Q86"/>
      <c r="R86"/>
      <c r="S86"/>
      <c r="T86"/>
    </row>
    <row r="87" spans="1:20" x14ac:dyDescent="0.2">
      <c r="A87" s="45">
        <v>43064</v>
      </c>
      <c r="B87" s="3">
        <v>8253.69</v>
      </c>
      <c r="C87" s="3">
        <v>474.91</v>
      </c>
      <c r="D87" s="3">
        <v>1</v>
      </c>
      <c r="E87" s="3">
        <v>1.72</v>
      </c>
      <c r="F87"/>
      <c r="G87"/>
      <c r="H87"/>
      <c r="I87"/>
      <c r="J87"/>
      <c r="K87"/>
      <c r="L87"/>
      <c r="M87"/>
      <c r="N87"/>
      <c r="O87"/>
      <c r="P87"/>
      <c r="Q87"/>
      <c r="R87"/>
      <c r="S87"/>
      <c r="T87"/>
    </row>
    <row r="88" spans="1:20" x14ac:dyDescent="0.2">
      <c r="A88" s="45">
        <v>43065</v>
      </c>
      <c r="B88" s="3">
        <v>8790.92</v>
      </c>
      <c r="C88" s="3">
        <v>466.28</v>
      </c>
      <c r="D88" s="3">
        <v>1.01</v>
      </c>
      <c r="E88" s="3">
        <v>1.87</v>
      </c>
      <c r="F88"/>
      <c r="G88"/>
      <c r="H88"/>
      <c r="I88"/>
      <c r="J88"/>
      <c r="K88"/>
      <c r="L88"/>
      <c r="M88"/>
      <c r="N88"/>
      <c r="O88"/>
      <c r="P88"/>
      <c r="Q88"/>
      <c r="R88"/>
      <c r="S88"/>
      <c r="T88"/>
    </row>
    <row r="89" spans="1:20" x14ac:dyDescent="0.2">
      <c r="A89" s="45">
        <v>43066</v>
      </c>
      <c r="B89" s="3">
        <v>9330.5499999999993</v>
      </c>
      <c r="C89" s="3">
        <v>471.33</v>
      </c>
      <c r="D89" s="3">
        <v>1.01</v>
      </c>
      <c r="E89" s="3">
        <v>1.85</v>
      </c>
      <c r="F89"/>
      <c r="G89"/>
      <c r="H89"/>
      <c r="I89"/>
      <c r="J89"/>
      <c r="K89"/>
      <c r="L89"/>
      <c r="M89"/>
      <c r="N89"/>
      <c r="O89"/>
      <c r="P89"/>
      <c r="Q89"/>
      <c r="R89"/>
      <c r="S89"/>
      <c r="T89"/>
    </row>
    <row r="90" spans="1:20" x14ac:dyDescent="0.2">
      <c r="A90" s="45">
        <v>43067</v>
      </c>
      <c r="B90" s="3">
        <v>9818.35</v>
      </c>
      <c r="C90" s="3">
        <v>480.36</v>
      </c>
      <c r="D90" s="3">
        <v>1</v>
      </c>
      <c r="E90" s="3">
        <v>1.94</v>
      </c>
      <c r="F90"/>
      <c r="G90"/>
      <c r="H90"/>
      <c r="I90"/>
      <c r="J90"/>
      <c r="K90"/>
      <c r="L90"/>
      <c r="M90"/>
      <c r="N90"/>
      <c r="O90"/>
      <c r="P90"/>
      <c r="Q90"/>
      <c r="R90"/>
      <c r="S90"/>
      <c r="T90"/>
    </row>
    <row r="91" spans="1:20" x14ac:dyDescent="0.2">
      <c r="A91" s="45">
        <v>43068</v>
      </c>
      <c r="B91" s="3">
        <v>10058.799999999999</v>
      </c>
      <c r="C91" s="3">
        <v>472.9</v>
      </c>
      <c r="D91" s="3">
        <v>1</v>
      </c>
      <c r="E91" s="3">
        <v>1.92</v>
      </c>
      <c r="F91"/>
      <c r="G91"/>
      <c r="H91"/>
      <c r="I91"/>
      <c r="J91"/>
      <c r="K91"/>
      <c r="L91"/>
      <c r="M91"/>
      <c r="N91"/>
      <c r="O91"/>
      <c r="P91"/>
      <c r="Q91"/>
      <c r="R91"/>
      <c r="S91"/>
      <c r="T91"/>
    </row>
    <row r="92" spans="1:20" x14ac:dyDescent="0.2">
      <c r="A92" s="45">
        <v>43069</v>
      </c>
      <c r="B92" s="3">
        <v>9888.61</v>
      </c>
      <c r="C92" s="3">
        <v>427.52</v>
      </c>
      <c r="D92" s="3">
        <v>0.99060599999999999</v>
      </c>
      <c r="E92" s="3">
        <v>1.75</v>
      </c>
      <c r="F92"/>
      <c r="G92"/>
      <c r="H92"/>
      <c r="I92"/>
      <c r="J92"/>
      <c r="K92"/>
      <c r="L92"/>
      <c r="M92"/>
      <c r="N92"/>
      <c r="O92"/>
      <c r="P92"/>
      <c r="Q92"/>
      <c r="R92"/>
      <c r="S92"/>
      <c r="T92"/>
    </row>
    <row r="93" spans="1:20" x14ac:dyDescent="0.2">
      <c r="A93" s="45">
        <v>43070</v>
      </c>
      <c r="B93" s="3">
        <v>10233.6</v>
      </c>
      <c r="C93" s="3">
        <v>447.11</v>
      </c>
      <c r="D93" s="3">
        <v>1.01</v>
      </c>
      <c r="E93" s="3">
        <v>2</v>
      </c>
      <c r="F93" s="24"/>
      <c r="G93" s="24"/>
      <c r="H93" s="24"/>
      <c r="I93" s="25"/>
      <c r="J93" s="25"/>
      <c r="K93" s="25"/>
      <c r="L93" s="24"/>
      <c r="M93"/>
      <c r="N93"/>
      <c r="O93"/>
      <c r="P93"/>
      <c r="Q93"/>
      <c r="R93"/>
      <c r="S93"/>
      <c r="T93"/>
    </row>
    <row r="94" spans="1:20" x14ac:dyDescent="0.2">
      <c r="A94" s="45">
        <v>43071</v>
      </c>
      <c r="B94" s="3">
        <v>10975.6</v>
      </c>
      <c r="C94" s="3">
        <v>466.54</v>
      </c>
      <c r="D94" s="3">
        <v>1.01</v>
      </c>
      <c r="E94" s="3">
        <v>2.0699999999999998</v>
      </c>
      <c r="F94" s="24"/>
      <c r="G94" s="24"/>
      <c r="H94" s="24"/>
      <c r="I94" s="25"/>
      <c r="J94" s="25"/>
      <c r="K94" s="25"/>
      <c r="L94" s="24"/>
      <c r="M94"/>
      <c r="N94"/>
      <c r="O94"/>
      <c r="P94"/>
      <c r="Q94"/>
      <c r="R94"/>
      <c r="S94"/>
      <c r="T94"/>
    </row>
    <row r="95" spans="1:20" x14ac:dyDescent="0.2">
      <c r="A95" s="45">
        <v>43072</v>
      </c>
      <c r="B95" s="3">
        <v>11074.6</v>
      </c>
      <c r="C95" s="3">
        <v>463.45</v>
      </c>
      <c r="D95" s="3">
        <v>0.99965400000000004</v>
      </c>
      <c r="E95" s="3">
        <v>2.08</v>
      </c>
      <c r="F95" s="24"/>
      <c r="G95" s="24"/>
      <c r="H95" s="24"/>
      <c r="I95" s="25"/>
      <c r="J95" s="25"/>
      <c r="K95" s="25"/>
      <c r="L95" s="24"/>
      <c r="M95"/>
      <c r="N95"/>
      <c r="O95"/>
      <c r="P95"/>
      <c r="Q95"/>
      <c r="R95"/>
      <c r="S95"/>
      <c r="T95"/>
    </row>
    <row r="96" spans="1:20" x14ac:dyDescent="0.2">
      <c r="A96" s="45">
        <v>43073</v>
      </c>
      <c r="B96" s="3">
        <v>11323.2</v>
      </c>
      <c r="C96" s="3">
        <v>465.85</v>
      </c>
      <c r="D96" s="3">
        <v>1</v>
      </c>
      <c r="E96" s="3">
        <v>2.23</v>
      </c>
      <c r="F96" s="24"/>
      <c r="G96" s="24"/>
      <c r="H96" s="24"/>
      <c r="I96" s="25"/>
      <c r="J96" s="25"/>
      <c r="K96" s="25"/>
      <c r="L96" s="24"/>
      <c r="M96"/>
      <c r="N96"/>
      <c r="O96"/>
      <c r="P96"/>
      <c r="Q96"/>
      <c r="R96"/>
      <c r="S96"/>
      <c r="T96"/>
    </row>
    <row r="97" spans="1:20" x14ac:dyDescent="0.2">
      <c r="A97" s="45">
        <v>43074</v>
      </c>
      <c r="B97" s="3">
        <v>11657.2</v>
      </c>
      <c r="C97" s="3">
        <v>470.2</v>
      </c>
      <c r="D97" s="3">
        <v>1</v>
      </c>
      <c r="E97" s="3">
        <v>2.4900000000000002</v>
      </c>
      <c r="F97" s="24"/>
      <c r="G97" s="24"/>
      <c r="H97" s="24"/>
      <c r="I97" s="25"/>
      <c r="J97" s="25"/>
      <c r="K97" s="25"/>
      <c r="L97" s="24"/>
      <c r="M97"/>
      <c r="N97"/>
      <c r="O97"/>
      <c r="P97"/>
      <c r="Q97"/>
      <c r="R97"/>
      <c r="S97"/>
      <c r="T97"/>
    </row>
    <row r="98" spans="1:20" x14ac:dyDescent="0.2">
      <c r="A98" s="45">
        <v>43075</v>
      </c>
      <c r="B98" s="3">
        <v>11916.7</v>
      </c>
      <c r="C98" s="3">
        <v>463.28</v>
      </c>
      <c r="D98" s="3">
        <v>1</v>
      </c>
      <c r="E98" s="3">
        <v>2.6</v>
      </c>
      <c r="F98" s="24"/>
      <c r="G98" s="24"/>
      <c r="H98" s="24"/>
      <c r="I98" s="25"/>
      <c r="J98" s="25"/>
      <c r="K98" s="25"/>
      <c r="L98" s="24"/>
      <c r="M98"/>
      <c r="N98"/>
      <c r="O98"/>
      <c r="P98"/>
      <c r="Q98"/>
      <c r="R98"/>
      <c r="S98"/>
      <c r="T98"/>
    </row>
    <row r="99" spans="1:20" x14ac:dyDescent="0.2">
      <c r="A99" s="45">
        <v>43076</v>
      </c>
      <c r="B99" s="3">
        <v>14291.5</v>
      </c>
      <c r="C99" s="3">
        <v>428.59</v>
      </c>
      <c r="D99" s="3">
        <v>1.01</v>
      </c>
      <c r="E99" s="3">
        <v>2.59</v>
      </c>
      <c r="F99" s="24"/>
      <c r="G99" s="24"/>
      <c r="H99" s="24"/>
      <c r="I99" s="25"/>
      <c r="J99" s="25"/>
      <c r="K99" s="25"/>
      <c r="L99" s="24"/>
      <c r="M99"/>
      <c r="N99"/>
      <c r="O99"/>
      <c r="P99"/>
      <c r="Q99"/>
      <c r="R99"/>
      <c r="S99"/>
      <c r="T99"/>
    </row>
    <row r="100" spans="1:20" x14ac:dyDescent="0.2">
      <c r="A100" s="45">
        <v>43077</v>
      </c>
      <c r="B100" s="3">
        <v>17899.7</v>
      </c>
      <c r="C100" s="3">
        <v>434.41</v>
      </c>
      <c r="D100" s="3">
        <v>1.03</v>
      </c>
      <c r="E100" s="3">
        <v>2.78</v>
      </c>
      <c r="F100" s="24"/>
      <c r="G100" s="24"/>
      <c r="H100" s="24"/>
      <c r="I100" s="25"/>
      <c r="J100" s="25"/>
      <c r="K100" s="25"/>
      <c r="L100" s="24"/>
      <c r="M100"/>
      <c r="N100"/>
      <c r="O100"/>
      <c r="P100"/>
      <c r="Q100"/>
      <c r="R100"/>
      <c r="S100"/>
      <c r="T100"/>
    </row>
    <row r="101" spans="1:20" x14ac:dyDescent="0.2">
      <c r="A101" s="45">
        <v>43078</v>
      </c>
      <c r="B101" s="3">
        <v>16569.400000000001</v>
      </c>
      <c r="C101" s="3">
        <v>456.03</v>
      </c>
      <c r="D101" s="3">
        <v>1.02</v>
      </c>
      <c r="E101" s="3">
        <v>2.83</v>
      </c>
      <c r="F101" s="24"/>
      <c r="G101" s="24"/>
      <c r="H101" s="24"/>
      <c r="I101" s="25"/>
      <c r="J101" s="25"/>
      <c r="K101" s="25"/>
      <c r="L101" s="24"/>
      <c r="M101"/>
      <c r="N101"/>
      <c r="O101"/>
      <c r="P101"/>
      <c r="Q101"/>
      <c r="R101"/>
      <c r="S101"/>
      <c r="T101"/>
    </row>
    <row r="102" spans="1:20" x14ac:dyDescent="0.2">
      <c r="A102" s="45">
        <v>43079</v>
      </c>
      <c r="B102" s="3">
        <v>15178.2</v>
      </c>
      <c r="C102" s="3">
        <v>473.5</v>
      </c>
      <c r="D102" s="3">
        <v>1.02</v>
      </c>
      <c r="E102" s="3">
        <v>2.61</v>
      </c>
      <c r="F102" s="24"/>
      <c r="G102" s="24"/>
      <c r="H102" s="24"/>
      <c r="I102" s="25"/>
      <c r="J102" s="25"/>
      <c r="K102" s="25"/>
      <c r="L102" s="24"/>
      <c r="M102"/>
      <c r="N102"/>
      <c r="O102"/>
      <c r="P102"/>
      <c r="Q102"/>
      <c r="R102"/>
      <c r="S102"/>
      <c r="T102"/>
    </row>
    <row r="103" spans="1:20" x14ac:dyDescent="0.2">
      <c r="A103" s="45">
        <v>43080</v>
      </c>
      <c r="B103" s="3">
        <v>15455.4</v>
      </c>
      <c r="C103" s="3">
        <v>441.72</v>
      </c>
      <c r="D103" s="3">
        <v>1.02</v>
      </c>
      <c r="E103" s="3">
        <v>2.48</v>
      </c>
      <c r="F103" s="24"/>
      <c r="G103" s="24"/>
      <c r="H103" s="24"/>
      <c r="I103" s="25"/>
      <c r="J103" s="25"/>
      <c r="K103" s="25"/>
      <c r="L103" s="24"/>
      <c r="M103"/>
      <c r="N103"/>
      <c r="O103"/>
      <c r="P103"/>
      <c r="Q103"/>
      <c r="R103"/>
      <c r="S103"/>
      <c r="T103"/>
    </row>
    <row r="104" spans="1:20" x14ac:dyDescent="0.2">
      <c r="A104" s="45">
        <v>43081</v>
      </c>
      <c r="B104" s="3">
        <v>16936.8</v>
      </c>
      <c r="C104" s="3">
        <v>515.14</v>
      </c>
      <c r="D104" s="3">
        <v>1.02</v>
      </c>
      <c r="E104" s="3">
        <v>2.71</v>
      </c>
      <c r="F104" s="24"/>
      <c r="G104" s="24"/>
      <c r="H104" s="24"/>
      <c r="I104" s="25"/>
      <c r="J104" s="25"/>
      <c r="K104" s="25"/>
      <c r="L104" s="24"/>
      <c r="M104"/>
      <c r="N104"/>
      <c r="O104"/>
      <c r="P104"/>
      <c r="Q104"/>
      <c r="R104"/>
      <c r="S104"/>
      <c r="T104"/>
    </row>
    <row r="105" spans="1:20" x14ac:dyDescent="0.2">
      <c r="A105" s="45">
        <v>43082</v>
      </c>
      <c r="B105" s="3">
        <v>17415.400000000001</v>
      </c>
      <c r="C105" s="3">
        <v>651.42999999999995</v>
      </c>
      <c r="D105" s="3">
        <v>1.08</v>
      </c>
      <c r="E105" s="3">
        <v>2.68</v>
      </c>
      <c r="F105" s="24"/>
      <c r="G105" s="24"/>
      <c r="H105" s="24"/>
      <c r="I105" s="25"/>
      <c r="J105" s="25"/>
      <c r="K105" s="25"/>
      <c r="L105" s="24"/>
      <c r="M105"/>
      <c r="N105"/>
      <c r="O105"/>
      <c r="P105"/>
      <c r="Q105"/>
      <c r="R105"/>
      <c r="S105"/>
      <c r="T105"/>
    </row>
    <row r="106" spans="1:20" x14ac:dyDescent="0.2">
      <c r="A106" s="45">
        <v>43083</v>
      </c>
      <c r="B106" s="3">
        <v>16408.2</v>
      </c>
      <c r="C106" s="3">
        <v>702.77</v>
      </c>
      <c r="D106" s="3">
        <v>1.03</v>
      </c>
      <c r="E106" s="3">
        <v>2.78</v>
      </c>
      <c r="F106" s="24"/>
      <c r="G106" s="24"/>
      <c r="H106" s="24"/>
      <c r="I106" s="25"/>
      <c r="J106" s="25"/>
      <c r="K106" s="25"/>
      <c r="L106" s="24"/>
      <c r="M106"/>
      <c r="N106"/>
      <c r="O106"/>
      <c r="P106"/>
      <c r="Q106"/>
      <c r="R106"/>
      <c r="S106"/>
      <c r="T106"/>
    </row>
    <row r="107" spans="1:20" x14ac:dyDescent="0.2">
      <c r="A107" s="45">
        <v>43084</v>
      </c>
      <c r="B107" s="3">
        <v>16564</v>
      </c>
      <c r="C107" s="3">
        <v>695.82</v>
      </c>
      <c r="D107" s="3">
        <v>1.01</v>
      </c>
      <c r="E107" s="3">
        <v>3.16</v>
      </c>
      <c r="F107" s="24"/>
      <c r="G107" s="24"/>
      <c r="H107" s="24"/>
      <c r="I107" s="25"/>
      <c r="J107" s="25"/>
      <c r="K107" s="25"/>
      <c r="L107" s="24"/>
      <c r="M107"/>
      <c r="N107"/>
      <c r="O107"/>
      <c r="P107"/>
      <c r="Q107"/>
      <c r="R107"/>
      <c r="S107"/>
      <c r="T107"/>
    </row>
    <row r="108" spans="1:20" x14ac:dyDescent="0.2">
      <c r="A108" s="45">
        <v>43085</v>
      </c>
      <c r="B108" s="3">
        <v>17706.900000000001</v>
      </c>
      <c r="C108" s="3">
        <v>684.45</v>
      </c>
      <c r="D108" s="3">
        <v>1.02</v>
      </c>
      <c r="E108" s="3">
        <v>4</v>
      </c>
      <c r="F108" s="24"/>
      <c r="G108" s="24"/>
      <c r="H108" s="24"/>
      <c r="I108" s="25"/>
      <c r="J108" s="25"/>
      <c r="K108" s="25"/>
      <c r="L108" s="24"/>
      <c r="M108"/>
      <c r="N108"/>
      <c r="O108"/>
      <c r="P108"/>
      <c r="Q108"/>
      <c r="R108"/>
      <c r="S108"/>
      <c r="T108"/>
    </row>
    <row r="109" spans="1:20" x14ac:dyDescent="0.2">
      <c r="A109" s="45">
        <v>43086</v>
      </c>
      <c r="B109" s="3">
        <v>19497.400000000001</v>
      </c>
      <c r="C109" s="3">
        <v>696.21</v>
      </c>
      <c r="D109" s="3">
        <v>1.01</v>
      </c>
      <c r="E109" s="3">
        <v>4.66</v>
      </c>
      <c r="F109" s="24"/>
      <c r="G109" s="24"/>
      <c r="H109" s="24"/>
      <c r="I109" s="25"/>
      <c r="J109" s="25"/>
      <c r="K109" s="25"/>
      <c r="L109" s="24"/>
      <c r="M109"/>
      <c r="N109"/>
      <c r="O109"/>
      <c r="P109"/>
      <c r="Q109"/>
      <c r="R109"/>
      <c r="S109"/>
      <c r="T109"/>
    </row>
    <row r="110" spans="1:20" x14ac:dyDescent="0.2">
      <c r="A110" s="45">
        <v>43087</v>
      </c>
      <c r="B110" s="3">
        <v>19140.8</v>
      </c>
      <c r="C110" s="3">
        <v>719.98</v>
      </c>
      <c r="D110" s="3">
        <v>1.01</v>
      </c>
      <c r="E110" s="3">
        <v>5.76</v>
      </c>
      <c r="F110" s="24"/>
      <c r="G110" s="24"/>
      <c r="H110" s="24"/>
      <c r="I110" s="25"/>
      <c r="J110" s="25"/>
      <c r="K110" s="25"/>
      <c r="L110" s="24"/>
      <c r="M110"/>
      <c r="N110"/>
      <c r="O110"/>
      <c r="P110"/>
      <c r="Q110"/>
      <c r="R110"/>
      <c r="S110"/>
      <c r="T110"/>
    </row>
    <row r="111" spans="1:20" x14ac:dyDescent="0.2">
      <c r="A111" s="45">
        <v>43088</v>
      </c>
      <c r="B111" s="3">
        <v>19114.2</v>
      </c>
      <c r="C111" s="3">
        <v>794.65</v>
      </c>
      <c r="D111" s="3">
        <v>1.01</v>
      </c>
      <c r="E111" s="3">
        <v>5.62</v>
      </c>
      <c r="F111" s="24"/>
      <c r="G111" s="24"/>
      <c r="H111" s="24"/>
      <c r="I111" s="25"/>
      <c r="J111" s="25"/>
      <c r="K111" s="25"/>
      <c r="L111" s="24"/>
      <c r="M111"/>
      <c r="N111"/>
      <c r="O111"/>
      <c r="P111"/>
      <c r="Q111"/>
      <c r="R111"/>
      <c r="S111"/>
      <c r="T111"/>
    </row>
    <row r="112" spans="1:20" x14ac:dyDescent="0.2">
      <c r="A112" s="45">
        <v>43089</v>
      </c>
      <c r="B112" s="3">
        <v>17776.7</v>
      </c>
      <c r="C112" s="3">
        <v>826.82</v>
      </c>
      <c r="D112" s="3">
        <v>1.01</v>
      </c>
      <c r="E112" s="3">
        <v>5.79</v>
      </c>
      <c r="F112" s="24"/>
      <c r="G112" s="24"/>
      <c r="H112" s="24"/>
      <c r="I112" s="25"/>
      <c r="J112" s="25"/>
      <c r="K112" s="25"/>
      <c r="L112" s="24"/>
      <c r="M112"/>
      <c r="N112"/>
      <c r="O112"/>
      <c r="P112"/>
      <c r="Q112"/>
      <c r="R112"/>
      <c r="S112"/>
      <c r="T112"/>
    </row>
    <row r="113" spans="1:20" x14ac:dyDescent="0.2">
      <c r="A113" s="45">
        <v>43090</v>
      </c>
      <c r="B113" s="3">
        <v>16624.599999999999</v>
      </c>
      <c r="C113" s="3">
        <v>819.09</v>
      </c>
      <c r="D113" s="3">
        <v>1</v>
      </c>
      <c r="E113" s="3">
        <v>5.18</v>
      </c>
      <c r="F113" s="24"/>
      <c r="G113" s="24"/>
      <c r="H113" s="24"/>
      <c r="I113" s="25"/>
      <c r="J113" s="25"/>
      <c r="K113" s="25"/>
      <c r="L113" s="24"/>
      <c r="M113"/>
      <c r="N113"/>
      <c r="O113"/>
      <c r="P113"/>
      <c r="Q113"/>
      <c r="R113"/>
      <c r="S113"/>
      <c r="T113"/>
    </row>
    <row r="114" spans="1:20" x14ac:dyDescent="0.2">
      <c r="A114" s="45">
        <v>43091</v>
      </c>
      <c r="B114" s="3">
        <v>15802.9</v>
      </c>
      <c r="C114" s="3">
        <v>821.06</v>
      </c>
      <c r="D114" s="3">
        <v>1.01</v>
      </c>
      <c r="E114" s="3">
        <v>5.18</v>
      </c>
      <c r="F114" s="24"/>
      <c r="G114" s="24"/>
      <c r="H114" s="24"/>
      <c r="I114" s="25"/>
      <c r="J114" s="25"/>
      <c r="K114" s="25"/>
      <c r="L114" s="24"/>
      <c r="M114"/>
      <c r="N114"/>
      <c r="O114"/>
      <c r="P114"/>
      <c r="Q114"/>
      <c r="R114"/>
      <c r="S114"/>
      <c r="T114"/>
    </row>
    <row r="115" spans="1:20" x14ac:dyDescent="0.2">
      <c r="A115" s="45">
        <v>43092</v>
      </c>
      <c r="B115" s="3">
        <v>13831.8</v>
      </c>
      <c r="C115" s="3">
        <v>674.86</v>
      </c>
      <c r="D115" s="3">
        <v>1.02</v>
      </c>
      <c r="E115" s="3">
        <v>4.34</v>
      </c>
      <c r="F115" s="24"/>
      <c r="G115" s="24"/>
      <c r="H115" s="24"/>
      <c r="I115" s="25"/>
      <c r="J115" s="25"/>
      <c r="K115" s="25"/>
      <c r="L115" s="24"/>
      <c r="M115"/>
      <c r="N115"/>
      <c r="O115"/>
      <c r="P115"/>
      <c r="Q115"/>
      <c r="R115"/>
      <c r="S115"/>
      <c r="T115"/>
    </row>
    <row r="116" spans="1:20" x14ac:dyDescent="0.2">
      <c r="A116" s="45">
        <v>43093</v>
      </c>
      <c r="B116" s="3">
        <v>14699.2</v>
      </c>
      <c r="C116" s="3">
        <v>719.39</v>
      </c>
      <c r="D116" s="3">
        <v>1.05</v>
      </c>
      <c r="E116" s="3">
        <v>4.84</v>
      </c>
      <c r="F116" s="24"/>
      <c r="G116" s="24"/>
      <c r="H116" s="24"/>
      <c r="I116" s="25"/>
      <c r="J116" s="25"/>
      <c r="K116" s="25"/>
      <c r="L116" s="24"/>
      <c r="M116"/>
      <c r="N116"/>
      <c r="O116"/>
      <c r="P116"/>
      <c r="Q116"/>
      <c r="R116"/>
      <c r="S116"/>
      <c r="T116"/>
    </row>
    <row r="117" spans="1:20" x14ac:dyDescent="0.2">
      <c r="A117" s="45">
        <v>43094</v>
      </c>
      <c r="B117" s="3">
        <v>13925.8</v>
      </c>
      <c r="C117" s="3">
        <v>694.15</v>
      </c>
      <c r="D117" s="3">
        <v>1.02</v>
      </c>
      <c r="E117" s="3">
        <v>5.29</v>
      </c>
      <c r="F117" s="24"/>
      <c r="G117" s="24"/>
      <c r="H117" s="24"/>
      <c r="I117" s="25"/>
      <c r="J117" s="25"/>
      <c r="K117" s="25"/>
      <c r="L117" s="24"/>
      <c r="M117"/>
      <c r="N117"/>
      <c r="O117"/>
      <c r="P117"/>
      <c r="Q117"/>
      <c r="R117"/>
      <c r="S117"/>
      <c r="T117"/>
    </row>
    <row r="118" spans="1:20" x14ac:dyDescent="0.2">
      <c r="A118" s="45">
        <v>43095</v>
      </c>
      <c r="B118" s="3">
        <v>14026.6</v>
      </c>
      <c r="C118" s="3">
        <v>765.83</v>
      </c>
      <c r="D118" s="3">
        <v>1.01</v>
      </c>
      <c r="E118" s="3">
        <v>6.56</v>
      </c>
      <c r="F118" s="24"/>
      <c r="G118" s="24"/>
      <c r="H118" s="24"/>
      <c r="I118" s="25"/>
      <c r="J118" s="25"/>
      <c r="K118" s="25"/>
      <c r="L118" s="24"/>
      <c r="M118"/>
      <c r="N118"/>
      <c r="O118"/>
      <c r="P118"/>
      <c r="Q118"/>
      <c r="R118"/>
      <c r="S118"/>
      <c r="T118"/>
    </row>
    <row r="119" spans="1:20" x14ac:dyDescent="0.2">
      <c r="A119" s="45">
        <v>43096</v>
      </c>
      <c r="B119" s="3">
        <v>16099.8</v>
      </c>
      <c r="C119" s="3">
        <v>773.84</v>
      </c>
      <c r="D119" s="3">
        <v>1</v>
      </c>
      <c r="E119" s="3">
        <v>9.0299999999999994</v>
      </c>
      <c r="F119" s="24"/>
      <c r="G119" s="24"/>
      <c r="H119" s="24"/>
      <c r="I119" s="25"/>
      <c r="J119" s="25"/>
      <c r="K119" s="25"/>
      <c r="L119" s="24"/>
      <c r="M119"/>
      <c r="N119"/>
      <c r="O119"/>
      <c r="P119"/>
      <c r="Q119"/>
      <c r="R119"/>
      <c r="S119"/>
      <c r="T119"/>
    </row>
    <row r="120" spans="1:20" x14ac:dyDescent="0.2">
      <c r="A120" s="45">
        <v>43097</v>
      </c>
      <c r="B120" s="3">
        <v>15838.5</v>
      </c>
      <c r="C120" s="3">
        <v>762.84</v>
      </c>
      <c r="D120" s="3">
        <v>1</v>
      </c>
      <c r="E120" s="3">
        <v>10.11</v>
      </c>
      <c r="F120" s="24"/>
      <c r="G120" s="24"/>
      <c r="H120" s="24"/>
      <c r="I120" s="25"/>
      <c r="J120" s="25"/>
      <c r="K120" s="25"/>
      <c r="L120" s="24"/>
      <c r="M120"/>
      <c r="N120"/>
      <c r="O120"/>
      <c r="P120"/>
      <c r="Q120"/>
      <c r="R120"/>
      <c r="S120"/>
      <c r="T120"/>
    </row>
    <row r="121" spans="1:20" x14ac:dyDescent="0.2">
      <c r="A121" s="45">
        <v>43098</v>
      </c>
      <c r="B121" s="3">
        <v>14606.5</v>
      </c>
      <c r="C121" s="3">
        <v>737.02</v>
      </c>
      <c r="D121" s="3">
        <v>1.01</v>
      </c>
      <c r="E121" s="3">
        <v>9.32</v>
      </c>
      <c r="F121" s="24"/>
      <c r="G121" s="24"/>
      <c r="H121" s="24"/>
      <c r="I121" s="25"/>
      <c r="J121" s="25"/>
      <c r="K121" s="25"/>
      <c r="L121" s="24"/>
      <c r="M121"/>
      <c r="N121"/>
      <c r="O121"/>
      <c r="P121"/>
      <c r="Q121"/>
      <c r="R121"/>
      <c r="S121"/>
      <c r="T121"/>
    </row>
    <row r="122" spans="1:20" x14ac:dyDescent="0.2">
      <c r="A122" s="45">
        <v>43099</v>
      </c>
      <c r="B122" s="3">
        <v>14656.2</v>
      </c>
      <c r="C122" s="3">
        <v>753.59</v>
      </c>
      <c r="D122" s="3">
        <v>1.01</v>
      </c>
      <c r="E122" s="3">
        <v>8.81</v>
      </c>
      <c r="F122" s="24"/>
      <c r="G122" s="24"/>
      <c r="H122" s="24"/>
      <c r="I122" s="25"/>
      <c r="J122" s="25"/>
      <c r="K122" s="25"/>
      <c r="L122" s="24"/>
      <c r="M122"/>
      <c r="N122"/>
      <c r="O122"/>
      <c r="P122"/>
      <c r="Q122"/>
      <c r="R122"/>
      <c r="S122"/>
      <c r="T122"/>
    </row>
    <row r="123" spans="1:20" x14ac:dyDescent="0.2">
      <c r="A123" s="45">
        <v>43100</v>
      </c>
      <c r="B123" s="3">
        <v>12952.2</v>
      </c>
      <c r="C123" s="3">
        <v>717.26</v>
      </c>
      <c r="D123" s="3">
        <v>1.02</v>
      </c>
      <c r="E123" s="3">
        <v>7.84</v>
      </c>
      <c r="F123" s="24"/>
      <c r="G123" s="24"/>
      <c r="H123" s="24"/>
      <c r="I123" s="25"/>
      <c r="J123" s="25"/>
      <c r="K123" s="25"/>
      <c r="L123" s="24"/>
      <c r="M123"/>
      <c r="N123"/>
      <c r="O123"/>
      <c r="P123"/>
      <c r="Q123"/>
      <c r="R123"/>
      <c r="S123"/>
      <c r="T123"/>
    </row>
    <row r="124" spans="1:20" x14ac:dyDescent="0.2">
      <c r="A124" s="45">
        <v>43101</v>
      </c>
      <c r="B124" s="3">
        <v>14156.4</v>
      </c>
      <c r="C124" s="3">
        <v>756.73</v>
      </c>
      <c r="D124" s="3">
        <v>1.01</v>
      </c>
      <c r="E124" s="3">
        <v>8.64</v>
      </c>
      <c r="F124" s="24"/>
      <c r="G124" s="24"/>
      <c r="H124" s="24"/>
      <c r="I124" s="25"/>
      <c r="J124" s="25"/>
      <c r="K124" s="25"/>
      <c r="L124" s="24"/>
      <c r="M124"/>
      <c r="N124"/>
      <c r="O124"/>
      <c r="P124"/>
      <c r="Q124"/>
      <c r="R124"/>
      <c r="S124"/>
      <c r="T124"/>
    </row>
    <row r="125" spans="1:20" x14ac:dyDescent="0.2">
      <c r="A125" s="45">
        <v>43102</v>
      </c>
      <c r="B125" s="3">
        <v>13657.2</v>
      </c>
      <c r="C125" s="3">
        <v>772.64</v>
      </c>
      <c r="D125" s="3">
        <v>1.01</v>
      </c>
      <c r="E125" s="3">
        <v>8.41</v>
      </c>
      <c r="F125" s="24"/>
      <c r="G125" s="24"/>
      <c r="H125" s="24"/>
      <c r="I125" s="25"/>
      <c r="J125" s="25"/>
      <c r="K125" s="25"/>
      <c r="L125" s="24"/>
      <c r="M125"/>
      <c r="N125"/>
      <c r="O125"/>
      <c r="P125"/>
      <c r="Q125"/>
      <c r="R125"/>
      <c r="S125"/>
      <c r="T125"/>
    </row>
    <row r="126" spans="1:20" x14ac:dyDescent="0.2">
      <c r="A126" s="45">
        <v>43103</v>
      </c>
      <c r="B126" s="3">
        <v>14982.1</v>
      </c>
      <c r="C126" s="3">
        <v>884.44</v>
      </c>
      <c r="D126" s="3">
        <v>1</v>
      </c>
      <c r="E126" s="3">
        <v>8.84</v>
      </c>
      <c r="F126" s="24"/>
      <c r="G126" s="24"/>
      <c r="H126" s="24"/>
      <c r="I126" s="25"/>
      <c r="J126" s="25"/>
      <c r="K126" s="25"/>
      <c r="L126" s="24"/>
      <c r="M126"/>
      <c r="N126"/>
      <c r="O126"/>
      <c r="P126"/>
      <c r="Q126"/>
      <c r="R126"/>
      <c r="S126"/>
      <c r="T126"/>
    </row>
    <row r="127" spans="1:20" x14ac:dyDescent="0.2">
      <c r="A127" s="45">
        <v>43104</v>
      </c>
      <c r="B127" s="3">
        <v>15201</v>
      </c>
      <c r="C127" s="3">
        <v>962.72</v>
      </c>
      <c r="D127" s="3">
        <v>1.01</v>
      </c>
      <c r="E127" s="3">
        <v>9.5399999999999991</v>
      </c>
      <c r="F127" s="24"/>
      <c r="G127" s="24"/>
      <c r="H127" s="24"/>
      <c r="I127" s="25"/>
      <c r="J127" s="25"/>
      <c r="K127" s="25"/>
      <c r="L127" s="24"/>
      <c r="M127"/>
      <c r="N127"/>
      <c r="O127"/>
      <c r="P127"/>
      <c r="Q127"/>
      <c r="R127"/>
      <c r="S127"/>
      <c r="T127"/>
    </row>
    <row r="128" spans="1:20" x14ac:dyDescent="0.2">
      <c r="A128" s="45">
        <v>43105</v>
      </c>
      <c r="B128" s="3">
        <v>15599.2</v>
      </c>
      <c r="C128" s="3">
        <v>980.92</v>
      </c>
      <c r="D128" s="3">
        <v>1</v>
      </c>
      <c r="E128" s="3">
        <v>9.2100000000000009</v>
      </c>
      <c r="F128" s="24"/>
      <c r="G128" s="24"/>
      <c r="H128" s="24"/>
      <c r="I128" s="25"/>
      <c r="J128" s="25"/>
      <c r="K128" s="25"/>
      <c r="L128" s="24"/>
      <c r="M128"/>
      <c r="N128"/>
      <c r="O128"/>
      <c r="P128"/>
      <c r="Q128"/>
      <c r="R128"/>
      <c r="S128"/>
      <c r="T128"/>
    </row>
    <row r="129" spans="1:20" x14ac:dyDescent="0.2">
      <c r="A129" s="45">
        <v>43106</v>
      </c>
      <c r="B129" s="3">
        <v>17429.5</v>
      </c>
      <c r="C129" s="3">
        <v>997.72</v>
      </c>
      <c r="D129" s="3">
        <v>0.99863400000000002</v>
      </c>
      <c r="E129" s="3">
        <v>14.92</v>
      </c>
      <c r="F129" s="24"/>
      <c r="G129" s="24"/>
      <c r="H129" s="24"/>
      <c r="I129" s="25"/>
      <c r="J129" s="25"/>
      <c r="K129" s="25"/>
      <c r="L129" s="24"/>
      <c r="M129"/>
      <c r="N129"/>
      <c r="O129"/>
      <c r="P129"/>
      <c r="Q129"/>
      <c r="R129"/>
      <c r="S129"/>
      <c r="T129"/>
    </row>
    <row r="130" spans="1:20" x14ac:dyDescent="0.2">
      <c r="A130" s="45">
        <v>43107</v>
      </c>
      <c r="B130" s="3">
        <v>17527</v>
      </c>
      <c r="C130" s="3">
        <v>1041.68</v>
      </c>
      <c r="D130" s="3">
        <v>1.01</v>
      </c>
      <c r="E130" s="3">
        <v>22.76</v>
      </c>
      <c r="F130" s="24"/>
      <c r="G130" s="24"/>
      <c r="H130" s="24"/>
      <c r="I130" s="25"/>
      <c r="J130" s="25"/>
      <c r="K130" s="25"/>
      <c r="L130" s="24"/>
      <c r="M130"/>
      <c r="N130"/>
      <c r="O130"/>
      <c r="P130"/>
      <c r="Q130"/>
      <c r="R130"/>
      <c r="S130"/>
      <c r="T130"/>
    </row>
    <row r="131" spans="1:20" x14ac:dyDescent="0.2">
      <c r="A131" s="45">
        <v>43108</v>
      </c>
      <c r="B131" s="3">
        <v>16477.599999999999</v>
      </c>
      <c r="C131" s="3">
        <v>1153.17</v>
      </c>
      <c r="D131" s="3">
        <v>1</v>
      </c>
      <c r="E131" s="3">
        <v>18.66</v>
      </c>
      <c r="F131" s="24"/>
      <c r="G131" s="24"/>
      <c r="H131" s="24"/>
      <c r="I131" s="25"/>
      <c r="J131" s="25"/>
      <c r="K131" s="25"/>
      <c r="L131" s="24"/>
      <c r="M131"/>
      <c r="N131"/>
      <c r="O131"/>
      <c r="P131"/>
      <c r="Q131"/>
      <c r="R131"/>
      <c r="S131"/>
      <c r="T131"/>
    </row>
    <row r="132" spans="1:20" x14ac:dyDescent="0.2">
      <c r="A132" s="45">
        <v>43109</v>
      </c>
      <c r="B132" s="3">
        <v>15170.1</v>
      </c>
      <c r="C132" s="3">
        <v>1148.53</v>
      </c>
      <c r="D132" s="3">
        <v>1.01</v>
      </c>
      <c r="E132" s="3">
        <v>18.260000000000002</v>
      </c>
      <c r="F132" s="24"/>
      <c r="G132" s="24"/>
      <c r="H132" s="24"/>
      <c r="I132" s="25"/>
      <c r="J132" s="25"/>
      <c r="K132" s="25"/>
      <c r="L132" s="24"/>
      <c r="M132"/>
      <c r="N132"/>
      <c r="O132"/>
      <c r="P132"/>
      <c r="Q132"/>
      <c r="R132"/>
      <c r="S132"/>
      <c r="T132"/>
    </row>
    <row r="133" spans="1:20" x14ac:dyDescent="0.2">
      <c r="A133" s="45">
        <v>43110</v>
      </c>
      <c r="B133" s="3">
        <v>14595.4</v>
      </c>
      <c r="C133" s="3">
        <v>1299.74</v>
      </c>
      <c r="D133" s="3">
        <v>1.01</v>
      </c>
      <c r="E133" s="3">
        <v>17.41</v>
      </c>
      <c r="F133" s="24"/>
      <c r="G133" s="24"/>
      <c r="H133" s="24"/>
      <c r="I133" s="25"/>
      <c r="J133" s="25"/>
      <c r="K133" s="25"/>
      <c r="L133" s="24"/>
      <c r="M133"/>
      <c r="N133"/>
      <c r="O133"/>
      <c r="P133"/>
      <c r="Q133"/>
      <c r="R133"/>
      <c r="S133"/>
      <c r="T133"/>
    </row>
    <row r="134" spans="1:20" x14ac:dyDescent="0.2">
      <c r="A134" s="45">
        <v>43111</v>
      </c>
      <c r="B134" s="3">
        <v>14973.3</v>
      </c>
      <c r="C134" s="3">
        <v>1255.82</v>
      </c>
      <c r="D134" s="3">
        <v>1</v>
      </c>
      <c r="E134" s="3">
        <v>17.39</v>
      </c>
      <c r="F134" s="24"/>
      <c r="G134" s="24"/>
      <c r="H134" s="24"/>
      <c r="I134" s="25"/>
      <c r="J134" s="25"/>
      <c r="K134" s="25"/>
      <c r="L134" s="24"/>
      <c r="M134"/>
      <c r="N134"/>
      <c r="O134"/>
      <c r="P134"/>
      <c r="Q134"/>
      <c r="R134"/>
      <c r="S134"/>
      <c r="T134"/>
    </row>
    <row r="135" spans="1:20" x14ac:dyDescent="0.2">
      <c r="A135" s="45">
        <v>43112</v>
      </c>
      <c r="B135" s="3">
        <v>13405.8</v>
      </c>
      <c r="C135" s="3">
        <v>1154.93</v>
      </c>
      <c r="D135" s="3">
        <v>1</v>
      </c>
      <c r="E135" s="3">
        <v>21.04</v>
      </c>
      <c r="F135" s="24"/>
      <c r="G135" s="24"/>
      <c r="H135" s="24"/>
      <c r="I135" s="25"/>
      <c r="J135" s="25"/>
      <c r="K135" s="25"/>
      <c r="L135" s="24"/>
      <c r="M135"/>
      <c r="N135"/>
      <c r="O135"/>
      <c r="P135"/>
      <c r="Q135"/>
      <c r="R135"/>
      <c r="S135"/>
      <c r="T135"/>
    </row>
    <row r="136" spans="1:20" x14ac:dyDescent="0.2">
      <c r="A136" s="45">
        <v>43113</v>
      </c>
      <c r="B136" s="3">
        <v>13980.6</v>
      </c>
      <c r="C136" s="3">
        <v>1273.2</v>
      </c>
      <c r="D136" s="3">
        <v>1.01</v>
      </c>
      <c r="E136" s="3">
        <v>22.32</v>
      </c>
      <c r="F136" s="24"/>
      <c r="G136" s="24"/>
      <c r="H136" s="24"/>
      <c r="I136" s="25"/>
      <c r="J136" s="25"/>
      <c r="K136" s="25"/>
      <c r="L136" s="24"/>
      <c r="M136"/>
      <c r="N136"/>
      <c r="O136"/>
      <c r="P136"/>
      <c r="Q136"/>
      <c r="R136"/>
      <c r="S136"/>
      <c r="T136"/>
    </row>
    <row r="137" spans="1:20" x14ac:dyDescent="0.2">
      <c r="A137" s="45">
        <v>43114</v>
      </c>
      <c r="B137" s="3">
        <v>14360.2</v>
      </c>
      <c r="C137" s="3">
        <v>1396.42</v>
      </c>
      <c r="D137" s="3">
        <v>1</v>
      </c>
      <c r="E137" s="3">
        <v>22.17</v>
      </c>
      <c r="F137" s="24"/>
      <c r="G137" s="24"/>
      <c r="H137" s="24"/>
      <c r="I137" s="25"/>
      <c r="J137" s="25"/>
      <c r="K137" s="25"/>
      <c r="L137" s="24"/>
      <c r="M137"/>
      <c r="N137"/>
      <c r="O137"/>
      <c r="P137"/>
      <c r="Q137"/>
      <c r="R137"/>
      <c r="S137"/>
      <c r="T137"/>
    </row>
    <row r="138" spans="1:20" x14ac:dyDescent="0.2">
      <c r="A138" s="45">
        <v>43115</v>
      </c>
      <c r="B138" s="3">
        <v>13772</v>
      </c>
      <c r="C138" s="3">
        <v>1366.77</v>
      </c>
      <c r="D138" s="3">
        <v>1.02</v>
      </c>
      <c r="E138" s="3">
        <v>20.78</v>
      </c>
      <c r="F138" s="32"/>
      <c r="G138" s="32"/>
      <c r="H138" s="32"/>
      <c r="I138" s="32"/>
      <c r="J138" s="24"/>
      <c r="K138" s="24"/>
      <c r="L138" s="24"/>
      <c r="M138" s="25"/>
      <c r="N138" s="25"/>
      <c r="O138" s="25"/>
      <c r="Q138"/>
      <c r="R138"/>
      <c r="S138"/>
      <c r="T138"/>
    </row>
    <row r="139" spans="1:20" x14ac:dyDescent="0.2">
      <c r="A139" s="45">
        <v>43116</v>
      </c>
      <c r="B139" s="3">
        <v>13819.8</v>
      </c>
      <c r="C139" s="3">
        <v>1291.92</v>
      </c>
      <c r="D139" s="3">
        <v>1.01</v>
      </c>
      <c r="E139" s="3">
        <v>19.559999999999999</v>
      </c>
      <c r="F139" s="32"/>
      <c r="G139" s="32"/>
      <c r="H139" s="32"/>
      <c r="I139" s="32"/>
      <c r="J139" s="24"/>
      <c r="K139" s="24"/>
      <c r="L139" s="24"/>
      <c r="M139" s="25"/>
      <c r="N139" s="25"/>
      <c r="O139" s="25"/>
      <c r="Q139"/>
      <c r="R139"/>
      <c r="S139"/>
      <c r="T139"/>
    </row>
    <row r="140" spans="1:20" x14ac:dyDescent="0.2">
      <c r="A140" s="45">
        <v>43117</v>
      </c>
      <c r="B140" s="3">
        <v>11490.5</v>
      </c>
      <c r="C140" s="3">
        <v>1053.69</v>
      </c>
      <c r="D140" s="3">
        <v>1.03</v>
      </c>
      <c r="E140" s="3">
        <v>13.89</v>
      </c>
      <c r="F140" s="32"/>
      <c r="G140" s="32"/>
      <c r="H140" s="32"/>
      <c r="I140" s="32"/>
      <c r="J140" s="24"/>
      <c r="K140" s="24"/>
      <c r="L140" s="24"/>
      <c r="M140" s="25"/>
      <c r="N140" s="25"/>
      <c r="O140" s="25"/>
      <c r="Q140"/>
      <c r="R140"/>
      <c r="S140"/>
      <c r="T140"/>
    </row>
    <row r="141" spans="1:20" x14ac:dyDescent="0.2">
      <c r="A141" s="45">
        <v>43118</v>
      </c>
      <c r="B141" s="3">
        <v>11188.6</v>
      </c>
      <c r="C141" s="3">
        <v>1014.25</v>
      </c>
      <c r="D141" s="3">
        <v>1.01</v>
      </c>
      <c r="E141" s="3">
        <v>14.2</v>
      </c>
      <c r="F141" s="32"/>
      <c r="G141" s="32"/>
      <c r="H141" s="32"/>
      <c r="I141" s="32"/>
      <c r="J141" s="24"/>
      <c r="K141" s="24"/>
      <c r="L141" s="24"/>
      <c r="M141" s="25"/>
      <c r="N141" s="25"/>
      <c r="O141" s="25"/>
      <c r="Q141"/>
      <c r="R141"/>
      <c r="S141"/>
      <c r="T141"/>
    </row>
    <row r="142" spans="1:20" x14ac:dyDescent="0.2">
      <c r="A142" s="45">
        <v>43119</v>
      </c>
      <c r="B142" s="3">
        <v>11474.9</v>
      </c>
      <c r="C142" s="3">
        <v>1036.28</v>
      </c>
      <c r="D142" s="3">
        <v>1.02</v>
      </c>
      <c r="E142" s="3">
        <v>14.28</v>
      </c>
      <c r="F142" s="32"/>
      <c r="G142" s="32"/>
      <c r="H142" s="32"/>
      <c r="I142" s="32"/>
      <c r="J142" s="24"/>
      <c r="K142" s="24"/>
      <c r="L142" s="24"/>
      <c r="M142" s="25"/>
      <c r="N142" s="25"/>
      <c r="O142" s="25"/>
      <c r="Q142"/>
      <c r="R142"/>
      <c r="S142"/>
      <c r="T142"/>
    </row>
    <row r="143" spans="1:20" x14ac:dyDescent="0.2">
      <c r="A143" s="45">
        <v>43120</v>
      </c>
      <c r="B143" s="3">
        <v>11607.4</v>
      </c>
      <c r="C143" s="3">
        <v>1039.0999999999999</v>
      </c>
      <c r="D143" s="3">
        <v>1</v>
      </c>
      <c r="E143" s="3">
        <v>14.94</v>
      </c>
    </row>
    <row r="144" spans="1:20" x14ac:dyDescent="0.2">
      <c r="A144" s="45">
        <v>43121</v>
      </c>
      <c r="B144" s="3">
        <v>12899.2</v>
      </c>
      <c r="C144" s="3">
        <v>1155.1500000000001</v>
      </c>
      <c r="D144" s="3">
        <v>1</v>
      </c>
      <c r="E144" s="3">
        <v>16.190000000000001</v>
      </c>
    </row>
    <row r="145" spans="1:5" x14ac:dyDescent="0.2">
      <c r="A145" s="45">
        <v>43122</v>
      </c>
      <c r="B145" s="3">
        <v>11600.1</v>
      </c>
      <c r="C145" s="3">
        <v>1049.58</v>
      </c>
      <c r="D145" s="3">
        <v>0.999861</v>
      </c>
      <c r="E145" s="3">
        <v>14.07</v>
      </c>
    </row>
    <row r="146" spans="1:5" x14ac:dyDescent="0.2">
      <c r="A146" s="45">
        <v>43123</v>
      </c>
      <c r="B146" s="3">
        <v>10931.4</v>
      </c>
      <c r="C146" s="3">
        <v>1003.26</v>
      </c>
      <c r="D146" s="3">
        <v>1.01</v>
      </c>
      <c r="E146" s="3">
        <v>13.01</v>
      </c>
    </row>
    <row r="147" spans="1:5" x14ac:dyDescent="0.2">
      <c r="A147" s="45">
        <v>43124</v>
      </c>
      <c r="B147" s="3">
        <v>10868.4</v>
      </c>
      <c r="C147" s="3">
        <v>986.23</v>
      </c>
      <c r="D147" s="3">
        <v>1.01</v>
      </c>
      <c r="E147" s="3">
        <v>13.09</v>
      </c>
    </row>
    <row r="148" spans="1:5" x14ac:dyDescent="0.2">
      <c r="A148" s="45">
        <v>43125</v>
      </c>
      <c r="B148" s="3">
        <v>11359.4</v>
      </c>
      <c r="C148" s="3">
        <v>1058.78</v>
      </c>
      <c r="D148" s="3">
        <v>0.99748400000000004</v>
      </c>
      <c r="E148" s="3">
        <v>13.63</v>
      </c>
    </row>
    <row r="149" spans="1:5" x14ac:dyDescent="0.2">
      <c r="A149" s="45">
        <v>43126</v>
      </c>
      <c r="B149" s="3">
        <v>11259.4</v>
      </c>
      <c r="C149" s="3">
        <v>1056.03</v>
      </c>
      <c r="D149" s="3">
        <v>0.99959500000000001</v>
      </c>
      <c r="E149" s="3">
        <v>13.23</v>
      </c>
    </row>
    <row r="150" spans="1:5" x14ac:dyDescent="0.2">
      <c r="A150" s="45">
        <v>43127</v>
      </c>
      <c r="B150" s="3">
        <v>11171.4</v>
      </c>
      <c r="C150" s="3">
        <v>1055.17</v>
      </c>
      <c r="D150" s="3">
        <v>1</v>
      </c>
      <c r="E150" s="3">
        <v>13.22</v>
      </c>
    </row>
    <row r="151" spans="1:5" x14ac:dyDescent="0.2">
      <c r="A151" s="45">
        <v>43128</v>
      </c>
      <c r="B151" s="3">
        <v>11440.7</v>
      </c>
      <c r="C151" s="3">
        <v>1107.07</v>
      </c>
      <c r="D151" s="3">
        <v>0.99332500000000001</v>
      </c>
      <c r="E151" s="3">
        <v>13.25</v>
      </c>
    </row>
    <row r="152" spans="1:5" x14ac:dyDescent="0.2">
      <c r="A152" s="45">
        <v>43129</v>
      </c>
      <c r="B152" s="3">
        <v>11786.3</v>
      </c>
      <c r="C152" s="3">
        <v>1246.01</v>
      </c>
      <c r="D152" s="3">
        <v>0.98878999999999995</v>
      </c>
      <c r="E152" s="3">
        <v>13.54</v>
      </c>
    </row>
    <row r="153" spans="1:5" x14ac:dyDescent="0.2">
      <c r="A153" s="45">
        <v>43130</v>
      </c>
      <c r="B153" s="3">
        <v>11296.4</v>
      </c>
      <c r="C153" s="3">
        <v>1182.3599999999999</v>
      </c>
      <c r="D153" s="3">
        <v>0.99531899999999995</v>
      </c>
      <c r="E153" s="3">
        <v>12.76</v>
      </c>
    </row>
    <row r="154" spans="1:5" x14ac:dyDescent="0.2">
      <c r="A154" s="45">
        <v>43131</v>
      </c>
      <c r="B154" s="3">
        <v>10106.299999999999</v>
      </c>
      <c r="C154" s="3">
        <v>1071.1300000000001</v>
      </c>
      <c r="D154" s="3">
        <v>0.98648599999999997</v>
      </c>
      <c r="E154" s="3">
        <v>11.25</v>
      </c>
    </row>
    <row r="155" spans="1:5" x14ac:dyDescent="0.2">
      <c r="A155" s="45">
        <v>43132</v>
      </c>
      <c r="B155" s="3">
        <v>10221.1</v>
      </c>
      <c r="C155" s="3">
        <v>1118.31</v>
      </c>
      <c r="D155" s="3">
        <v>0.99027399999999999</v>
      </c>
      <c r="E155" s="3">
        <v>11.15</v>
      </c>
    </row>
    <row r="156" spans="1:5" x14ac:dyDescent="0.2">
      <c r="A156" s="45">
        <v>43133</v>
      </c>
      <c r="B156" s="3">
        <v>9170.5400000000009</v>
      </c>
      <c r="C156" s="3">
        <v>1036.79</v>
      </c>
      <c r="D156" s="3">
        <v>0.98693900000000001</v>
      </c>
      <c r="E156" s="3">
        <v>9.52</v>
      </c>
    </row>
    <row r="157" spans="1:5" x14ac:dyDescent="0.2">
      <c r="A157" s="45">
        <v>43134</v>
      </c>
      <c r="B157" s="3">
        <v>8830.75</v>
      </c>
      <c r="C157" s="3">
        <v>915.79</v>
      </c>
      <c r="D157" s="3">
        <v>0.99074700000000004</v>
      </c>
      <c r="E157" s="3">
        <v>9.65</v>
      </c>
    </row>
    <row r="158" spans="1:5" x14ac:dyDescent="0.2">
      <c r="A158" s="45">
        <v>43135</v>
      </c>
      <c r="B158" s="3">
        <v>9174.91</v>
      </c>
      <c r="C158" s="3">
        <v>964.02</v>
      </c>
      <c r="D158" s="3">
        <v>1</v>
      </c>
      <c r="E158" s="3">
        <v>9.75</v>
      </c>
    </row>
    <row r="159" spans="1:5" x14ac:dyDescent="0.2">
      <c r="A159" s="45">
        <v>43136</v>
      </c>
      <c r="B159" s="3">
        <v>8277.01</v>
      </c>
      <c r="C159" s="3">
        <v>834.68</v>
      </c>
      <c r="D159" s="3">
        <v>1.01</v>
      </c>
      <c r="E159" s="3">
        <v>8.4600000000000009</v>
      </c>
    </row>
    <row r="160" spans="1:5" x14ac:dyDescent="0.2">
      <c r="A160" s="45">
        <v>43137</v>
      </c>
      <c r="B160" s="3">
        <v>6955.27</v>
      </c>
      <c r="C160" s="3">
        <v>697.95</v>
      </c>
      <c r="D160" s="3">
        <v>0.99630799999999997</v>
      </c>
      <c r="E160" s="3">
        <v>6.71</v>
      </c>
    </row>
    <row r="161" spans="1:5" x14ac:dyDescent="0.2">
      <c r="A161" s="45">
        <v>43138</v>
      </c>
      <c r="B161" s="3">
        <v>7754</v>
      </c>
      <c r="C161" s="3">
        <v>793.12</v>
      </c>
      <c r="D161" s="3">
        <v>1.01</v>
      </c>
      <c r="E161" s="3">
        <v>8.2899999999999991</v>
      </c>
    </row>
    <row r="162" spans="1:5" x14ac:dyDescent="0.2">
      <c r="A162" s="45">
        <v>43139</v>
      </c>
      <c r="B162" s="3">
        <v>7621.3</v>
      </c>
      <c r="C162" s="3">
        <v>757.07</v>
      </c>
      <c r="D162" s="3">
        <v>1</v>
      </c>
      <c r="E162" s="3">
        <v>8.1</v>
      </c>
    </row>
    <row r="163" spans="1:5" x14ac:dyDescent="0.2">
      <c r="A163" s="45">
        <v>43140</v>
      </c>
      <c r="B163" s="3">
        <v>8265.59</v>
      </c>
      <c r="C163" s="3">
        <v>817.81</v>
      </c>
      <c r="D163" s="3">
        <v>1.02</v>
      </c>
      <c r="E163" s="3">
        <v>8.6</v>
      </c>
    </row>
    <row r="164" spans="1:5" x14ac:dyDescent="0.2">
      <c r="A164" s="45">
        <v>43141</v>
      </c>
      <c r="B164" s="3">
        <v>8736.98</v>
      </c>
      <c r="C164" s="3">
        <v>883.87</v>
      </c>
      <c r="D164" s="3">
        <v>1</v>
      </c>
      <c r="E164" s="3">
        <v>9.73</v>
      </c>
    </row>
    <row r="165" spans="1:5" x14ac:dyDescent="0.2">
      <c r="A165" s="45">
        <v>43142</v>
      </c>
      <c r="B165" s="3">
        <v>8621.9</v>
      </c>
      <c r="C165" s="3">
        <v>860.42</v>
      </c>
      <c r="D165" s="3">
        <v>1</v>
      </c>
      <c r="E165" s="3">
        <v>9.26</v>
      </c>
    </row>
    <row r="166" spans="1:5" x14ac:dyDescent="0.2">
      <c r="A166" s="45">
        <v>43143</v>
      </c>
      <c r="B166" s="3">
        <v>8129.97</v>
      </c>
      <c r="C166" s="3">
        <v>814.66</v>
      </c>
      <c r="D166" s="3">
        <v>0.999251</v>
      </c>
      <c r="E166" s="3">
        <v>8.6999999999999993</v>
      </c>
    </row>
    <row r="167" spans="1:5" x14ac:dyDescent="0.2">
      <c r="A167" s="45">
        <v>43144</v>
      </c>
      <c r="B167" s="3">
        <v>8926.57</v>
      </c>
      <c r="C167" s="3">
        <v>868.71</v>
      </c>
      <c r="D167" s="3">
        <v>1</v>
      </c>
      <c r="E167" s="3">
        <v>9.32</v>
      </c>
    </row>
    <row r="168" spans="1:5" x14ac:dyDescent="0.2">
      <c r="A168" s="45">
        <v>43145</v>
      </c>
      <c r="B168" s="3">
        <v>8598.31</v>
      </c>
      <c r="C168" s="3">
        <v>845.26</v>
      </c>
      <c r="D168" s="3">
        <v>1</v>
      </c>
      <c r="E168" s="3">
        <v>8.99</v>
      </c>
    </row>
    <row r="169" spans="1:5" x14ac:dyDescent="0.2">
      <c r="A169" s="45">
        <v>43146</v>
      </c>
      <c r="B169" s="3">
        <v>9494.6299999999992</v>
      </c>
      <c r="C169" s="3">
        <v>923.56</v>
      </c>
      <c r="D169" s="3">
        <v>1</v>
      </c>
      <c r="E169" s="3">
        <v>10.4</v>
      </c>
    </row>
    <row r="170" spans="1:5" x14ac:dyDescent="0.2">
      <c r="A170" s="45">
        <v>43147</v>
      </c>
      <c r="B170" s="3">
        <v>10166.4</v>
      </c>
      <c r="C170" s="3">
        <v>936.98</v>
      </c>
      <c r="D170" s="3">
        <v>1.01</v>
      </c>
      <c r="E170" s="3">
        <v>10.93</v>
      </c>
    </row>
    <row r="171" spans="1:5" x14ac:dyDescent="0.2">
      <c r="A171" s="45">
        <v>43148</v>
      </c>
      <c r="B171" s="3">
        <v>10233.9</v>
      </c>
      <c r="C171" s="3">
        <v>944.21</v>
      </c>
      <c r="D171" s="3">
        <v>1</v>
      </c>
      <c r="E171" s="3">
        <v>11.2</v>
      </c>
    </row>
    <row r="172" spans="1:5" x14ac:dyDescent="0.2">
      <c r="A172" s="45">
        <v>43149</v>
      </c>
      <c r="B172" s="3">
        <v>11112.7</v>
      </c>
      <c r="C172" s="3">
        <v>974.12</v>
      </c>
      <c r="D172" s="3">
        <v>1</v>
      </c>
      <c r="E172" s="3">
        <v>11.69</v>
      </c>
    </row>
    <row r="173" spans="1:5" x14ac:dyDescent="0.2">
      <c r="A173" s="45">
        <v>43150</v>
      </c>
      <c r="B173" s="3">
        <v>10551.8</v>
      </c>
      <c r="C173" s="3">
        <v>923.92</v>
      </c>
      <c r="D173" s="3">
        <v>1.01</v>
      </c>
      <c r="E173" s="3">
        <v>10.7</v>
      </c>
    </row>
    <row r="174" spans="1:5" x14ac:dyDescent="0.2">
      <c r="A174" s="45">
        <v>43151</v>
      </c>
      <c r="B174" s="3">
        <v>11225.3</v>
      </c>
      <c r="C174" s="3">
        <v>943.87</v>
      </c>
      <c r="D174" s="3">
        <v>1</v>
      </c>
      <c r="E174" s="3">
        <v>11.08</v>
      </c>
    </row>
    <row r="175" spans="1:5" x14ac:dyDescent="0.2">
      <c r="A175" s="45">
        <v>43152</v>
      </c>
      <c r="B175" s="3">
        <v>11403.7</v>
      </c>
      <c r="C175" s="3">
        <v>895.37</v>
      </c>
      <c r="D175" s="3">
        <v>1</v>
      </c>
      <c r="E175" s="3">
        <v>9.9</v>
      </c>
    </row>
    <row r="176" spans="1:5" x14ac:dyDescent="0.2">
      <c r="A176" s="45">
        <v>43153</v>
      </c>
      <c r="B176" s="3">
        <v>10690.4</v>
      </c>
      <c r="C176" s="3">
        <v>849.97</v>
      </c>
      <c r="D176" s="3">
        <v>1</v>
      </c>
      <c r="E176" s="3">
        <v>9.3800000000000008</v>
      </c>
    </row>
    <row r="177" spans="1:5" x14ac:dyDescent="0.2">
      <c r="A177" s="45">
        <v>43154</v>
      </c>
      <c r="B177" s="3">
        <v>10005</v>
      </c>
      <c r="C177" s="3">
        <v>812.85</v>
      </c>
      <c r="D177" s="3">
        <v>1</v>
      </c>
      <c r="E177" s="3">
        <v>8.9</v>
      </c>
    </row>
    <row r="178" spans="1:5" x14ac:dyDescent="0.2">
      <c r="A178" s="45">
        <v>43155</v>
      </c>
      <c r="B178" s="3">
        <v>10301.1</v>
      </c>
      <c r="C178" s="3">
        <v>864.19</v>
      </c>
      <c r="D178" s="3">
        <v>1</v>
      </c>
      <c r="E178" s="3">
        <v>9.69</v>
      </c>
    </row>
    <row r="179" spans="1:5" x14ac:dyDescent="0.2">
      <c r="A179" s="45">
        <v>43156</v>
      </c>
      <c r="B179" s="3">
        <v>9813.07</v>
      </c>
      <c r="C179" s="3">
        <v>840.52</v>
      </c>
      <c r="D179" s="3">
        <v>1</v>
      </c>
      <c r="E179" s="3">
        <v>9.14</v>
      </c>
    </row>
    <row r="180" spans="1:5" x14ac:dyDescent="0.2">
      <c r="A180" s="45">
        <v>43157</v>
      </c>
      <c r="B180" s="3">
        <v>9664.73</v>
      </c>
      <c r="C180" s="3">
        <v>844.81</v>
      </c>
      <c r="D180" s="3">
        <v>1</v>
      </c>
      <c r="E180" s="3">
        <v>9.35</v>
      </c>
    </row>
    <row r="181" spans="1:5" x14ac:dyDescent="0.2">
      <c r="A181" s="45">
        <v>43158</v>
      </c>
      <c r="B181" s="3">
        <v>10366.700000000001</v>
      </c>
      <c r="C181" s="3">
        <v>869.32</v>
      </c>
      <c r="D181" s="3">
        <v>0.99956100000000003</v>
      </c>
      <c r="E181" s="3">
        <v>9.9</v>
      </c>
    </row>
    <row r="182" spans="1:5" x14ac:dyDescent="0.2">
      <c r="A182" s="45">
        <v>43159</v>
      </c>
      <c r="B182" s="3">
        <v>10725.6</v>
      </c>
      <c r="C182" s="3">
        <v>878.27</v>
      </c>
      <c r="D182" s="3">
        <v>1</v>
      </c>
      <c r="E182" s="3">
        <v>10.66</v>
      </c>
    </row>
    <row r="183" spans="1:5" x14ac:dyDescent="0.2">
      <c r="A183" s="45">
        <v>43160</v>
      </c>
      <c r="B183" s="3">
        <v>10397.9</v>
      </c>
      <c r="C183" s="3">
        <v>855.2</v>
      </c>
      <c r="D183" s="3">
        <v>0.99890299999999999</v>
      </c>
      <c r="E183" s="3">
        <v>10.44</v>
      </c>
    </row>
    <row r="184" spans="1:5" x14ac:dyDescent="0.2">
      <c r="A184" s="45">
        <v>43161</v>
      </c>
      <c r="B184" s="3">
        <v>10951</v>
      </c>
      <c r="C184" s="3">
        <v>872.2</v>
      </c>
      <c r="D184" s="3">
        <v>1</v>
      </c>
      <c r="E184" s="3">
        <v>10.51</v>
      </c>
    </row>
    <row r="185" spans="1:5" x14ac:dyDescent="0.2">
      <c r="A185" s="45">
        <v>43162</v>
      </c>
      <c r="B185" s="3">
        <v>11086.4</v>
      </c>
      <c r="C185" s="3">
        <v>856.85</v>
      </c>
      <c r="D185" s="3">
        <v>0.99973000000000001</v>
      </c>
      <c r="E185" s="3">
        <v>10.220000000000001</v>
      </c>
    </row>
    <row r="186" spans="1:5" x14ac:dyDescent="0.2">
      <c r="A186" s="45">
        <v>43163</v>
      </c>
      <c r="B186" s="3">
        <v>11489.7</v>
      </c>
      <c r="C186" s="3">
        <v>857.23</v>
      </c>
      <c r="D186" s="3">
        <v>1</v>
      </c>
      <c r="E186" s="3">
        <v>10.220000000000001</v>
      </c>
    </row>
    <row r="187" spans="1:5" x14ac:dyDescent="0.2">
      <c r="A187" s="45">
        <v>43164</v>
      </c>
      <c r="B187" s="3">
        <v>11512.6</v>
      </c>
      <c r="C187" s="3">
        <v>866.68</v>
      </c>
      <c r="D187" s="3">
        <v>0.99761200000000005</v>
      </c>
      <c r="E187" s="3">
        <v>10.35</v>
      </c>
    </row>
    <row r="188" spans="1:5" x14ac:dyDescent="0.2">
      <c r="A188" s="45">
        <v>43165</v>
      </c>
      <c r="B188" s="3">
        <v>11573.3</v>
      </c>
      <c r="C188" s="3">
        <v>853.68</v>
      </c>
      <c r="D188" s="3">
        <v>0.99886399999999997</v>
      </c>
      <c r="E188" s="3">
        <v>10.11</v>
      </c>
    </row>
    <row r="189" spans="1:5" x14ac:dyDescent="0.2">
      <c r="A189" s="45">
        <v>43166</v>
      </c>
      <c r="B189" s="3">
        <v>10779.9</v>
      </c>
      <c r="C189" s="3">
        <v>816.95</v>
      </c>
      <c r="D189" s="3">
        <v>1</v>
      </c>
      <c r="E189" s="3">
        <v>9.3800000000000008</v>
      </c>
    </row>
    <row r="190" spans="1:5" x14ac:dyDescent="0.2">
      <c r="A190" s="45">
        <v>43167</v>
      </c>
      <c r="B190" s="3">
        <v>9965.57</v>
      </c>
      <c r="C190" s="3">
        <v>752.83</v>
      </c>
      <c r="D190" s="3">
        <v>1</v>
      </c>
      <c r="E190" s="3">
        <v>9.0299999999999994</v>
      </c>
    </row>
    <row r="191" spans="1:5" x14ac:dyDescent="0.2">
      <c r="A191" s="45">
        <v>43168</v>
      </c>
      <c r="B191" s="3">
        <v>9395.01</v>
      </c>
      <c r="C191" s="3">
        <v>704.6</v>
      </c>
      <c r="D191" s="3">
        <v>1.01</v>
      </c>
      <c r="E191" s="3">
        <v>8.31</v>
      </c>
    </row>
    <row r="192" spans="1:5" x14ac:dyDescent="0.2">
      <c r="A192" s="45">
        <v>43169</v>
      </c>
      <c r="B192" s="3">
        <v>9337.5499999999993</v>
      </c>
      <c r="C192" s="3">
        <v>728.92</v>
      </c>
      <c r="D192" s="3">
        <v>1</v>
      </c>
      <c r="E192" s="3">
        <v>8.31</v>
      </c>
    </row>
    <row r="193" spans="1:5" x14ac:dyDescent="0.2">
      <c r="A193" s="45">
        <v>43170</v>
      </c>
      <c r="B193" s="3">
        <v>8866</v>
      </c>
      <c r="C193" s="3">
        <v>686.89</v>
      </c>
      <c r="D193" s="3">
        <v>1.01</v>
      </c>
      <c r="E193" s="3">
        <v>7.67</v>
      </c>
    </row>
    <row r="194" spans="1:5" x14ac:dyDescent="0.2">
      <c r="A194" s="45">
        <v>43171</v>
      </c>
      <c r="B194" s="3">
        <v>9578.6299999999992</v>
      </c>
      <c r="C194" s="3">
        <v>723.34</v>
      </c>
      <c r="D194" s="3">
        <v>1</v>
      </c>
      <c r="E194" s="3">
        <v>8.27</v>
      </c>
    </row>
    <row r="195" spans="1:5" x14ac:dyDescent="0.2">
      <c r="A195" s="45">
        <v>43172</v>
      </c>
      <c r="B195" s="3">
        <v>9205.1200000000008</v>
      </c>
      <c r="C195" s="3">
        <v>699.83</v>
      </c>
      <c r="D195" s="3">
        <v>1</v>
      </c>
      <c r="E195" s="3">
        <v>8.0399999999999991</v>
      </c>
    </row>
    <row r="196" spans="1:5" x14ac:dyDescent="0.2">
      <c r="A196" s="45">
        <v>43173</v>
      </c>
      <c r="B196" s="3">
        <v>9194.85</v>
      </c>
      <c r="C196" s="3">
        <v>690.83</v>
      </c>
      <c r="D196" s="3">
        <v>0.99984300000000004</v>
      </c>
      <c r="E196" s="3">
        <v>10.119999999999999</v>
      </c>
    </row>
    <row r="197" spans="1:5" x14ac:dyDescent="0.2">
      <c r="A197" s="45">
        <v>43174</v>
      </c>
      <c r="B197" s="3">
        <v>8269.81</v>
      </c>
      <c r="C197" s="3">
        <v>614.29</v>
      </c>
      <c r="D197" s="3">
        <v>1</v>
      </c>
      <c r="E197" s="3">
        <v>8.9600000000000009</v>
      </c>
    </row>
    <row r="198" spans="1:5" x14ac:dyDescent="0.2">
      <c r="A198" s="45">
        <v>43175</v>
      </c>
      <c r="B198" s="3">
        <v>8300.86</v>
      </c>
      <c r="C198" s="3">
        <v>611.29999999999995</v>
      </c>
      <c r="D198" s="3">
        <v>1</v>
      </c>
      <c r="E198" s="3">
        <v>9.1</v>
      </c>
    </row>
    <row r="199" spans="1:5" x14ac:dyDescent="0.2">
      <c r="A199" s="45">
        <v>43176</v>
      </c>
      <c r="B199" s="3">
        <v>8338.35</v>
      </c>
      <c r="C199" s="3">
        <v>601.66999999999996</v>
      </c>
      <c r="D199" s="3">
        <v>0.99855099999999997</v>
      </c>
      <c r="E199" s="3">
        <v>9.11</v>
      </c>
    </row>
    <row r="200" spans="1:5" x14ac:dyDescent="0.2">
      <c r="A200" s="45">
        <v>43177</v>
      </c>
      <c r="B200" s="3">
        <v>7916.88</v>
      </c>
      <c r="C200" s="3">
        <v>552.78</v>
      </c>
      <c r="D200" s="3">
        <v>1</v>
      </c>
      <c r="E200" s="3">
        <v>8.99</v>
      </c>
    </row>
    <row r="201" spans="1:5" x14ac:dyDescent="0.2">
      <c r="A201" s="45">
        <v>43178</v>
      </c>
      <c r="B201" s="3">
        <v>8223.68</v>
      </c>
      <c r="C201" s="3">
        <v>538.64</v>
      </c>
      <c r="D201" s="3">
        <v>1</v>
      </c>
      <c r="E201" s="3">
        <v>8.9499999999999993</v>
      </c>
    </row>
    <row r="202" spans="1:5" x14ac:dyDescent="0.2">
      <c r="A202" s="45">
        <v>43179</v>
      </c>
      <c r="B202" s="3">
        <v>8630.65</v>
      </c>
      <c r="C202" s="3">
        <v>556.73</v>
      </c>
      <c r="D202" s="3">
        <v>0.98986700000000005</v>
      </c>
      <c r="E202" s="3">
        <v>8.99</v>
      </c>
    </row>
    <row r="203" spans="1:5" x14ac:dyDescent="0.2">
      <c r="A203" s="45">
        <v>43180</v>
      </c>
      <c r="B203" s="3">
        <v>8913.4699999999993</v>
      </c>
      <c r="C203" s="3">
        <v>557.16999999999996</v>
      </c>
      <c r="D203" s="3">
        <v>0.99683200000000005</v>
      </c>
      <c r="E203" s="3">
        <v>9.16</v>
      </c>
    </row>
    <row r="204" spans="1:5" x14ac:dyDescent="0.2">
      <c r="A204" s="45">
        <v>43181</v>
      </c>
      <c r="B204" s="3">
        <v>8929.2800000000007</v>
      </c>
      <c r="C204" s="3">
        <v>561.73</v>
      </c>
      <c r="D204" s="3">
        <v>0.99924400000000002</v>
      </c>
      <c r="E204" s="3">
        <v>9.98</v>
      </c>
    </row>
    <row r="205" spans="1:5" x14ac:dyDescent="0.2">
      <c r="A205" s="45">
        <v>43182</v>
      </c>
      <c r="B205" s="3">
        <v>8728.4699999999993</v>
      </c>
      <c r="C205" s="3">
        <v>539.70000000000005</v>
      </c>
      <c r="D205" s="3">
        <v>0.99898200000000004</v>
      </c>
      <c r="E205" s="3">
        <v>10.07</v>
      </c>
    </row>
    <row r="206" spans="1:5" x14ac:dyDescent="0.2">
      <c r="A206" s="45">
        <v>43183</v>
      </c>
      <c r="B206" s="3">
        <v>8879.6200000000008</v>
      </c>
      <c r="C206" s="3">
        <v>539.62</v>
      </c>
      <c r="D206" s="3">
        <v>0.99023499999999998</v>
      </c>
      <c r="E206" s="3">
        <v>11.74</v>
      </c>
    </row>
    <row r="207" spans="1:5" x14ac:dyDescent="0.2">
      <c r="A207" s="45">
        <v>43184</v>
      </c>
      <c r="B207" s="3">
        <v>8668.1200000000008</v>
      </c>
      <c r="C207" s="3">
        <v>526.44000000000005</v>
      </c>
      <c r="D207" s="3">
        <v>1.01</v>
      </c>
      <c r="E207" s="3">
        <v>13.09</v>
      </c>
    </row>
    <row r="208" spans="1:5" x14ac:dyDescent="0.2">
      <c r="A208" s="45">
        <v>43185</v>
      </c>
      <c r="B208" s="3">
        <v>8495.7800000000007</v>
      </c>
      <c r="C208" s="3">
        <v>524.29</v>
      </c>
      <c r="D208" s="3">
        <v>0.99968599999999996</v>
      </c>
      <c r="E208" s="3">
        <v>12.78</v>
      </c>
    </row>
    <row r="209" spans="1:5" x14ac:dyDescent="0.2">
      <c r="A209" s="45">
        <v>43186</v>
      </c>
      <c r="B209" s="3">
        <v>8209.4</v>
      </c>
      <c r="C209" s="3">
        <v>489.95</v>
      </c>
      <c r="D209" s="3">
        <v>1</v>
      </c>
      <c r="E209" s="3">
        <v>12.06</v>
      </c>
    </row>
    <row r="210" spans="1:5" x14ac:dyDescent="0.2">
      <c r="A210" s="45">
        <v>43187</v>
      </c>
      <c r="B210" s="3">
        <v>7833.04</v>
      </c>
      <c r="C210" s="3">
        <v>450.12</v>
      </c>
      <c r="D210" s="3">
        <v>1</v>
      </c>
      <c r="E210" s="3">
        <v>11.51</v>
      </c>
    </row>
    <row r="211" spans="1:5" x14ac:dyDescent="0.2">
      <c r="A211" s="45">
        <v>43188</v>
      </c>
      <c r="B211" s="3">
        <v>7954.48</v>
      </c>
      <c r="C211" s="3">
        <v>446.28</v>
      </c>
      <c r="D211" s="3">
        <v>0.99920399999999998</v>
      </c>
      <c r="E211" s="3">
        <v>11.64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J38"/>
  <sheetViews>
    <sheetView zoomScale="120" zoomScaleNormal="120" workbookViewId="0">
      <pane ySplit="2" topLeftCell="A3" activePane="bottomLeft" state="frozen"/>
      <selection pane="bottomLeft" sqref="A1:J1"/>
    </sheetView>
  </sheetViews>
  <sheetFormatPr defaultRowHeight="12.75" x14ac:dyDescent="0.2"/>
  <cols>
    <col min="1" max="1" width="9.5703125" style="4" bestFit="1" customWidth="1"/>
    <col min="2" max="2" width="15.28515625" style="4" bestFit="1" customWidth="1"/>
    <col min="3" max="3" width="11" style="91" bestFit="1" customWidth="1"/>
    <col min="4" max="4" width="12.7109375" style="93" bestFit="1" customWidth="1"/>
    <col min="5" max="8" width="19.85546875" style="117" bestFit="1" customWidth="1"/>
    <col min="9" max="9" width="20.85546875" style="115" bestFit="1" customWidth="1"/>
    <col min="10" max="10" width="22" style="115" bestFit="1" customWidth="1"/>
  </cols>
  <sheetData>
    <row r="1" spans="1:10" s="10" customFormat="1" ht="37.5" customHeight="1" x14ac:dyDescent="0.2">
      <c r="A1" s="154"/>
      <c r="B1" s="154"/>
      <c r="C1" s="154"/>
      <c r="D1" s="154"/>
      <c r="E1" s="154"/>
      <c r="F1" s="154"/>
      <c r="G1" s="154"/>
      <c r="H1" s="154"/>
      <c r="I1" s="154"/>
      <c r="J1" s="154"/>
    </row>
    <row r="2" spans="1:10" s="40" customFormat="1" ht="30" customHeight="1" x14ac:dyDescent="0.2">
      <c r="A2" s="35" t="s">
        <v>25</v>
      </c>
      <c r="B2" s="35" t="s">
        <v>17</v>
      </c>
      <c r="C2" s="132" t="s">
        <v>1149</v>
      </c>
      <c r="D2" s="133" t="s">
        <v>1150</v>
      </c>
      <c r="E2" s="134" t="s">
        <v>676</v>
      </c>
      <c r="F2" s="134" t="s">
        <v>677</v>
      </c>
      <c r="G2" s="134" t="s">
        <v>678</v>
      </c>
      <c r="H2" s="134" t="s">
        <v>679</v>
      </c>
      <c r="I2" s="135" t="s">
        <v>680</v>
      </c>
      <c r="J2" s="135" t="s">
        <v>681</v>
      </c>
    </row>
    <row r="3" spans="1:10" x14ac:dyDescent="0.2">
      <c r="A3" s="90" t="s">
        <v>195</v>
      </c>
      <c r="B3" s="90" t="s">
        <v>719</v>
      </c>
      <c r="C3" s="94">
        <v>43120</v>
      </c>
      <c r="D3" s="92">
        <v>43120</v>
      </c>
      <c r="E3" s="116">
        <v>0.65656400000000004</v>
      </c>
      <c r="F3" s="116">
        <v>0.72624200000000005</v>
      </c>
      <c r="G3" s="116">
        <v>0.647644</v>
      </c>
      <c r="H3" s="116">
        <v>0.70750999999999997</v>
      </c>
      <c r="I3" s="114">
        <v>738799000</v>
      </c>
      <c r="J3" s="114">
        <v>17022800000</v>
      </c>
    </row>
    <row r="4" spans="1:10" x14ac:dyDescent="0.2">
      <c r="A4" s="90" t="s">
        <v>8</v>
      </c>
      <c r="B4" s="90" t="s">
        <v>731</v>
      </c>
      <c r="C4" s="94">
        <v>43138</v>
      </c>
      <c r="D4" s="92">
        <v>43138</v>
      </c>
      <c r="E4" s="116">
        <v>971.08</v>
      </c>
      <c r="F4" s="116">
        <v>1040.49</v>
      </c>
      <c r="G4" s="116">
        <v>902.49</v>
      </c>
      <c r="H4" s="116">
        <v>957.96</v>
      </c>
      <c r="I4" s="114">
        <v>866222000</v>
      </c>
      <c r="J4" s="114">
        <v>16462900000</v>
      </c>
    </row>
    <row r="5" spans="1:10" x14ac:dyDescent="0.2">
      <c r="A5" s="90" t="s">
        <v>251</v>
      </c>
      <c r="B5" s="90" t="s">
        <v>720</v>
      </c>
      <c r="C5" s="94">
        <v>43120</v>
      </c>
      <c r="D5" s="92">
        <v>43120</v>
      </c>
      <c r="E5" s="116">
        <v>3.7482000000000001E-2</v>
      </c>
      <c r="F5" s="116">
        <v>4.3353000000000003E-2</v>
      </c>
      <c r="G5" s="116">
        <v>3.4275E-2</v>
      </c>
      <c r="H5" s="116">
        <v>3.5957999999999997E-2</v>
      </c>
      <c r="I5" s="114">
        <v>25252200</v>
      </c>
      <c r="J5" s="114" t="s">
        <v>750</v>
      </c>
    </row>
    <row r="6" spans="1:10" x14ac:dyDescent="0.2">
      <c r="A6" s="90" t="s">
        <v>74</v>
      </c>
      <c r="B6" s="90" t="s">
        <v>732</v>
      </c>
      <c r="C6" s="94">
        <v>43120</v>
      </c>
      <c r="D6" s="92">
        <v>43120</v>
      </c>
      <c r="E6" s="116">
        <v>15.03</v>
      </c>
      <c r="F6" s="116">
        <v>16.649999999999999</v>
      </c>
      <c r="G6" s="116">
        <v>15.03</v>
      </c>
      <c r="H6" s="116">
        <v>16.190000000000001</v>
      </c>
      <c r="I6" s="114">
        <v>156745000</v>
      </c>
      <c r="J6" s="114">
        <v>1488590000</v>
      </c>
    </row>
    <row r="7" spans="1:10" x14ac:dyDescent="0.2">
      <c r="A7" s="90" t="s">
        <v>10</v>
      </c>
      <c r="B7" s="90" t="s">
        <v>683</v>
      </c>
      <c r="C7" s="94">
        <v>43120</v>
      </c>
      <c r="D7" s="92">
        <v>43120</v>
      </c>
      <c r="E7" s="116">
        <v>11656.2</v>
      </c>
      <c r="F7" s="116">
        <v>13103</v>
      </c>
      <c r="G7" s="116">
        <v>11656.2</v>
      </c>
      <c r="H7" s="116">
        <v>12899.2</v>
      </c>
      <c r="I7" s="114">
        <v>11801700000</v>
      </c>
      <c r="J7" s="114">
        <v>195979000000</v>
      </c>
    </row>
    <row r="8" spans="1:10" x14ac:dyDescent="0.2">
      <c r="A8" s="90" t="s">
        <v>228</v>
      </c>
      <c r="B8" s="90" t="s">
        <v>733</v>
      </c>
      <c r="C8" s="94">
        <v>43120</v>
      </c>
      <c r="D8" s="92">
        <v>43120</v>
      </c>
      <c r="E8" s="116">
        <v>219.16</v>
      </c>
      <c r="F8" s="116">
        <v>237.61</v>
      </c>
      <c r="G8" s="116">
        <v>213.79</v>
      </c>
      <c r="H8" s="116">
        <v>231.13</v>
      </c>
      <c r="I8" s="114">
        <v>288869000</v>
      </c>
      <c r="J8" s="114">
        <v>3676260000</v>
      </c>
    </row>
    <row r="9" spans="1:10" x14ac:dyDescent="0.2">
      <c r="A9" s="90" t="s">
        <v>11</v>
      </c>
      <c r="B9" s="90" t="s">
        <v>721</v>
      </c>
      <c r="C9" s="94">
        <v>43120</v>
      </c>
      <c r="D9" s="92">
        <v>43120</v>
      </c>
      <c r="E9" s="116">
        <v>853.05</v>
      </c>
      <c r="F9" s="116">
        <v>959.04</v>
      </c>
      <c r="G9" s="116">
        <v>848.98</v>
      </c>
      <c r="H9" s="116">
        <v>926.12</v>
      </c>
      <c r="I9" s="114">
        <v>162376000</v>
      </c>
      <c r="J9" s="114">
        <v>6677870000</v>
      </c>
    </row>
    <row r="10" spans="1:10" x14ac:dyDescent="0.2">
      <c r="A10" s="90" t="s">
        <v>112</v>
      </c>
      <c r="B10" s="90" t="s">
        <v>111</v>
      </c>
      <c r="C10" s="94">
        <v>43120</v>
      </c>
      <c r="D10" s="92">
        <v>43120</v>
      </c>
      <c r="E10" s="116">
        <v>0.20571400000000001</v>
      </c>
      <c r="F10" s="116">
        <v>0.24990399999999999</v>
      </c>
      <c r="G10" s="116">
        <v>0.19328799999999999</v>
      </c>
      <c r="H10" s="116">
        <v>0.24302399999999999</v>
      </c>
      <c r="I10" s="114">
        <v>24250300</v>
      </c>
      <c r="J10" s="114">
        <v>123428000</v>
      </c>
    </row>
    <row r="11" spans="1:10" x14ac:dyDescent="0.2">
      <c r="A11" s="90" t="s">
        <v>12</v>
      </c>
      <c r="B11" s="90" t="s">
        <v>722</v>
      </c>
      <c r="C11" s="94">
        <v>43120</v>
      </c>
      <c r="D11" s="92">
        <v>43120</v>
      </c>
      <c r="E11" s="116">
        <v>1.92</v>
      </c>
      <c r="F11" s="116">
        <v>2.0499999999999998</v>
      </c>
      <c r="G11" s="116">
        <v>1.83</v>
      </c>
      <c r="H11" s="116">
        <v>1.95</v>
      </c>
      <c r="I11" s="114">
        <v>14721500</v>
      </c>
      <c r="J11" s="114">
        <v>157561000</v>
      </c>
    </row>
    <row r="12" spans="1:10" x14ac:dyDescent="0.2">
      <c r="A12" s="90" t="s">
        <v>35</v>
      </c>
      <c r="B12" s="90" t="s">
        <v>734</v>
      </c>
      <c r="C12" s="94">
        <v>43120</v>
      </c>
      <c r="D12" s="92">
        <v>43120</v>
      </c>
      <c r="E12" s="116">
        <v>32.090000000000003</v>
      </c>
      <c r="F12" s="116">
        <v>35.56</v>
      </c>
      <c r="G12" s="116">
        <v>32.090000000000003</v>
      </c>
      <c r="H12" s="116">
        <v>35.01</v>
      </c>
      <c r="I12" s="114">
        <v>418291000</v>
      </c>
      <c r="J12" s="114">
        <v>3184770000</v>
      </c>
    </row>
    <row r="13" spans="1:10" x14ac:dyDescent="0.2">
      <c r="A13" s="90" t="s">
        <v>9</v>
      </c>
      <c r="B13" s="90" t="s">
        <v>682</v>
      </c>
      <c r="C13" s="94">
        <v>43120</v>
      </c>
      <c r="D13" s="92">
        <v>43120</v>
      </c>
      <c r="E13" s="116">
        <v>1044.95</v>
      </c>
      <c r="F13" s="116">
        <v>1167.1099999999999</v>
      </c>
      <c r="G13" s="116">
        <v>1044.95</v>
      </c>
      <c r="H13" s="116">
        <v>1155.1500000000001</v>
      </c>
      <c r="I13" s="114">
        <v>3975190000</v>
      </c>
      <c r="J13" s="114">
        <v>101451000000</v>
      </c>
    </row>
    <row r="14" spans="1:10" x14ac:dyDescent="0.2">
      <c r="A14" s="90" t="s">
        <v>73</v>
      </c>
      <c r="B14" s="90" t="s">
        <v>723</v>
      </c>
      <c r="C14" s="94">
        <v>43120</v>
      </c>
      <c r="D14" s="92">
        <v>43120</v>
      </c>
      <c r="E14" s="116">
        <v>0.123651</v>
      </c>
      <c r="F14" s="116">
        <v>0.127493</v>
      </c>
      <c r="G14" s="116">
        <v>0.118071</v>
      </c>
      <c r="H14" s="116">
        <v>0.123047</v>
      </c>
      <c r="I14" s="114">
        <v>21431800</v>
      </c>
      <c r="J14" s="114">
        <v>546425000</v>
      </c>
    </row>
    <row r="15" spans="1:10" x14ac:dyDescent="0.2">
      <c r="A15" s="90" t="s">
        <v>50</v>
      </c>
      <c r="B15" s="90" t="s">
        <v>724</v>
      </c>
      <c r="C15" s="94">
        <v>43101</v>
      </c>
      <c r="D15" s="92">
        <v>43101</v>
      </c>
      <c r="E15" s="116">
        <v>30.15</v>
      </c>
      <c r="F15" s="116">
        <v>34.47</v>
      </c>
      <c r="G15" s="116">
        <v>29.39</v>
      </c>
      <c r="H15" s="116">
        <v>31.44</v>
      </c>
      <c r="I15" s="114">
        <v>9620240</v>
      </c>
      <c r="J15" s="114">
        <v>275535000</v>
      </c>
    </row>
    <row r="16" spans="1:10" x14ac:dyDescent="0.2">
      <c r="A16" s="90" t="s">
        <v>135</v>
      </c>
      <c r="B16" s="90" t="s">
        <v>725</v>
      </c>
      <c r="C16" s="94">
        <v>43120</v>
      </c>
      <c r="D16" s="92">
        <v>43120</v>
      </c>
      <c r="E16" s="116">
        <v>1.21</v>
      </c>
      <c r="F16" s="116">
        <v>1.25</v>
      </c>
      <c r="G16" s="116">
        <v>1.1000000000000001</v>
      </c>
      <c r="H16" s="116">
        <v>1.23</v>
      </c>
      <c r="I16" s="114">
        <v>22765000</v>
      </c>
      <c r="J16" s="114">
        <v>83993800</v>
      </c>
    </row>
    <row r="17" spans="1:10" x14ac:dyDescent="0.2">
      <c r="A17" s="90" t="s">
        <v>31</v>
      </c>
      <c r="B17" s="90" t="s">
        <v>726</v>
      </c>
      <c r="C17" s="94">
        <v>43120</v>
      </c>
      <c r="D17" s="92">
        <v>43120</v>
      </c>
      <c r="E17" s="116">
        <v>2.71</v>
      </c>
      <c r="F17" s="116">
        <v>3.14</v>
      </c>
      <c r="G17" s="116">
        <v>2.71</v>
      </c>
      <c r="H17" s="116">
        <v>3</v>
      </c>
      <c r="I17" s="114">
        <v>140378000</v>
      </c>
      <c r="J17" s="114">
        <v>7530230000</v>
      </c>
    </row>
    <row r="18" spans="1:10" x14ac:dyDescent="0.2">
      <c r="A18" s="90" t="s">
        <v>13</v>
      </c>
      <c r="B18" s="90" t="s">
        <v>727</v>
      </c>
      <c r="C18" s="94">
        <v>43120</v>
      </c>
      <c r="D18" s="92">
        <v>43120</v>
      </c>
      <c r="E18" s="116">
        <v>194.38</v>
      </c>
      <c r="F18" s="116">
        <v>214.59</v>
      </c>
      <c r="G18" s="116">
        <v>194.38</v>
      </c>
      <c r="H18" s="116">
        <v>211.02</v>
      </c>
      <c r="I18" s="114">
        <v>540786000</v>
      </c>
      <c r="J18" s="114">
        <v>10658300000</v>
      </c>
    </row>
    <row r="19" spans="1:10" x14ac:dyDescent="0.2">
      <c r="A19" s="90" t="s">
        <v>14</v>
      </c>
      <c r="B19" s="90" t="s">
        <v>728</v>
      </c>
      <c r="C19" s="94">
        <v>43120</v>
      </c>
      <c r="D19" s="92">
        <v>43120</v>
      </c>
      <c r="E19" s="116">
        <v>140.49</v>
      </c>
      <c r="F19" s="116">
        <v>157.19</v>
      </c>
      <c r="G19" s="116">
        <v>138.65</v>
      </c>
      <c r="H19" s="116">
        <v>149.94</v>
      </c>
      <c r="I19" s="114">
        <v>501671000</v>
      </c>
      <c r="J19" s="114">
        <v>9132020000</v>
      </c>
    </row>
    <row r="20" spans="1:10" x14ac:dyDescent="0.2">
      <c r="A20" s="90" t="s">
        <v>81</v>
      </c>
      <c r="B20" s="90" t="s">
        <v>729</v>
      </c>
      <c r="C20" s="94">
        <v>43120</v>
      </c>
      <c r="D20" s="92">
        <v>43120</v>
      </c>
      <c r="E20" s="116">
        <v>0.32390600000000003</v>
      </c>
      <c r="F20" s="116">
        <v>0.36113000000000001</v>
      </c>
      <c r="G20" s="116">
        <v>0.321023</v>
      </c>
      <c r="H20" s="116">
        <v>0.353128</v>
      </c>
      <c r="I20" s="114">
        <v>17475100</v>
      </c>
      <c r="J20" s="114">
        <v>323582000</v>
      </c>
    </row>
    <row r="21" spans="1:10" x14ac:dyDescent="0.2">
      <c r="A21" s="90" t="s">
        <v>15</v>
      </c>
      <c r="B21" s="90" t="s">
        <v>730</v>
      </c>
      <c r="C21" s="94">
        <v>43120</v>
      </c>
      <c r="D21" s="92">
        <v>43120</v>
      </c>
      <c r="E21" s="116">
        <v>18.63</v>
      </c>
      <c r="F21" s="116">
        <v>19.95</v>
      </c>
      <c r="G21" s="116">
        <v>18.63</v>
      </c>
      <c r="H21" s="116">
        <v>19.71</v>
      </c>
      <c r="I21" s="114">
        <v>89103800</v>
      </c>
      <c r="J21" s="114">
        <v>1901100000</v>
      </c>
    </row>
    <row r="22" spans="1:10" x14ac:dyDescent="0.2">
      <c r="A22" s="90" t="s">
        <v>235</v>
      </c>
      <c r="B22" s="90" t="s">
        <v>735</v>
      </c>
      <c r="C22" s="94">
        <v>43120</v>
      </c>
      <c r="D22" s="92">
        <v>43120</v>
      </c>
      <c r="E22" s="116">
        <v>0.56818500000000005</v>
      </c>
      <c r="F22" s="116">
        <v>0.62517</v>
      </c>
      <c r="G22" s="116">
        <v>0.55437199999999998</v>
      </c>
      <c r="H22" s="116">
        <v>0.59411000000000003</v>
      </c>
      <c r="I22" s="114">
        <v>21739200</v>
      </c>
      <c r="J22" s="114">
        <v>364232000</v>
      </c>
    </row>
    <row r="23" spans="1:10" x14ac:dyDescent="0.2">
      <c r="A23" s="90" t="s">
        <v>250</v>
      </c>
      <c r="B23" s="90" t="s">
        <v>736</v>
      </c>
      <c r="C23" s="94">
        <v>43120</v>
      </c>
      <c r="D23" s="92">
        <v>43120</v>
      </c>
      <c r="E23" s="116">
        <v>77.12</v>
      </c>
      <c r="F23" s="116">
        <v>77.52</v>
      </c>
      <c r="G23" s="116">
        <v>63.47</v>
      </c>
      <c r="H23" s="116">
        <v>74.010000000000005</v>
      </c>
      <c r="I23" s="114">
        <v>5146600</v>
      </c>
      <c r="J23" s="114" t="s">
        <v>750</v>
      </c>
    </row>
    <row r="24" spans="1:10" x14ac:dyDescent="0.2">
      <c r="A24" s="90" t="s">
        <v>78</v>
      </c>
      <c r="B24" s="90" t="s">
        <v>737</v>
      </c>
      <c r="C24" s="94">
        <v>43120</v>
      </c>
      <c r="D24" s="92">
        <v>43120</v>
      </c>
      <c r="E24" s="116">
        <v>0.33525500000000003</v>
      </c>
      <c r="F24" s="116">
        <v>0.35964400000000002</v>
      </c>
      <c r="G24" s="116">
        <v>0.32436100000000001</v>
      </c>
      <c r="H24" s="116">
        <v>0.344864</v>
      </c>
      <c r="I24" s="114">
        <v>322499000</v>
      </c>
      <c r="J24" s="114">
        <v>1163500000</v>
      </c>
    </row>
    <row r="25" spans="1:10" x14ac:dyDescent="0.2">
      <c r="A25" s="90" t="s">
        <v>616</v>
      </c>
      <c r="B25" s="90" t="s">
        <v>738</v>
      </c>
      <c r="C25" s="94">
        <v>43120</v>
      </c>
      <c r="D25" s="92">
        <v>43120</v>
      </c>
      <c r="E25" s="116">
        <v>1.26</v>
      </c>
      <c r="F25" s="116">
        <v>1.54</v>
      </c>
      <c r="G25" s="116">
        <v>1.26</v>
      </c>
      <c r="H25" s="116">
        <v>1.49</v>
      </c>
      <c r="I25" s="114">
        <v>54734900</v>
      </c>
      <c r="J25" s="114">
        <v>50228600</v>
      </c>
    </row>
    <row r="26" spans="1:10" x14ac:dyDescent="0.2">
      <c r="A26" s="90" t="s">
        <v>185</v>
      </c>
      <c r="B26" s="90" t="s">
        <v>739</v>
      </c>
      <c r="C26" s="94">
        <v>43120</v>
      </c>
      <c r="D26" s="92">
        <v>43120</v>
      </c>
      <c r="E26" s="116">
        <v>8.1157999999999994E-2</v>
      </c>
      <c r="F26" s="116">
        <v>8.8723999999999997E-2</v>
      </c>
      <c r="G26" s="116">
        <v>8.0607999999999999E-2</v>
      </c>
      <c r="H26" s="116">
        <v>8.5200999999999999E-2</v>
      </c>
      <c r="I26" s="114">
        <v>626439000</v>
      </c>
      <c r="J26" s="114">
        <v>5336000000</v>
      </c>
    </row>
    <row r="27" spans="1:10" x14ac:dyDescent="0.2">
      <c r="A27" s="90" t="s">
        <v>42</v>
      </c>
      <c r="B27" s="90" t="s">
        <v>740</v>
      </c>
      <c r="C27" s="94">
        <v>43120</v>
      </c>
      <c r="D27" s="92">
        <v>43120</v>
      </c>
      <c r="E27" s="116">
        <v>1.01</v>
      </c>
      <c r="F27" s="116">
        <v>1.01</v>
      </c>
      <c r="G27" s="116">
        <v>0.99144299999999996</v>
      </c>
      <c r="H27" s="116">
        <v>1</v>
      </c>
      <c r="I27" s="114">
        <v>2942780000</v>
      </c>
      <c r="J27" s="114">
        <v>1629410000</v>
      </c>
    </row>
    <row r="28" spans="1:10" x14ac:dyDescent="0.2">
      <c r="A28" s="90" t="s">
        <v>183</v>
      </c>
      <c r="B28" s="90" t="s">
        <v>741</v>
      </c>
      <c r="C28" s="94">
        <v>43120</v>
      </c>
      <c r="D28" s="92">
        <v>43120</v>
      </c>
      <c r="E28" s="116">
        <v>5.98</v>
      </c>
      <c r="F28" s="116">
        <v>8.16</v>
      </c>
      <c r="G28" s="116">
        <v>5.97</v>
      </c>
      <c r="H28" s="116">
        <v>8.14</v>
      </c>
      <c r="I28" s="114">
        <v>252285000</v>
      </c>
      <c r="J28" s="114">
        <v>1657350000</v>
      </c>
    </row>
    <row r="29" spans="1:10" x14ac:dyDescent="0.2">
      <c r="A29" s="90" t="s">
        <v>95</v>
      </c>
      <c r="B29" s="90" t="s">
        <v>742</v>
      </c>
      <c r="C29" s="94">
        <v>43120</v>
      </c>
      <c r="D29" s="92">
        <v>43120</v>
      </c>
      <c r="E29" s="116">
        <v>4.71</v>
      </c>
      <c r="F29" s="116">
        <v>5.81</v>
      </c>
      <c r="G29" s="116">
        <v>4.71</v>
      </c>
      <c r="H29" s="116">
        <v>5.61</v>
      </c>
      <c r="I29" s="114">
        <v>17899700</v>
      </c>
      <c r="J29" s="114">
        <v>200298000</v>
      </c>
    </row>
    <row r="30" spans="1:10" x14ac:dyDescent="0.2">
      <c r="A30" s="90" t="s">
        <v>85</v>
      </c>
      <c r="B30" s="90" t="s">
        <v>743</v>
      </c>
      <c r="C30" s="94">
        <v>43120</v>
      </c>
      <c r="D30" s="92">
        <v>43120</v>
      </c>
      <c r="E30" s="116">
        <v>22.64</v>
      </c>
      <c r="F30" s="116">
        <v>27.89</v>
      </c>
      <c r="G30" s="116">
        <v>22.29</v>
      </c>
      <c r="H30" s="116">
        <v>27.32</v>
      </c>
      <c r="I30" s="114">
        <v>49287800</v>
      </c>
      <c r="J30" s="114">
        <v>563802000</v>
      </c>
    </row>
    <row r="31" spans="1:10" x14ac:dyDescent="0.2">
      <c r="A31" s="90" t="s">
        <v>631</v>
      </c>
      <c r="B31" s="90" t="s">
        <v>744</v>
      </c>
      <c r="C31" s="94">
        <v>43120</v>
      </c>
      <c r="D31" s="92">
        <v>43120</v>
      </c>
      <c r="E31" s="116">
        <v>1.1000000000000001</v>
      </c>
      <c r="F31" s="116">
        <v>1.21</v>
      </c>
      <c r="G31" s="116">
        <v>1.1000000000000001</v>
      </c>
      <c r="H31" s="116">
        <v>1.21</v>
      </c>
      <c r="I31" s="114">
        <v>129900000</v>
      </c>
      <c r="J31" s="114">
        <v>9901720000</v>
      </c>
    </row>
    <row r="32" spans="1:10" x14ac:dyDescent="0.2">
      <c r="A32" s="90" t="s">
        <v>58</v>
      </c>
      <c r="B32" s="90" t="s">
        <v>745</v>
      </c>
      <c r="C32" s="94">
        <v>43120</v>
      </c>
      <c r="D32" s="92">
        <v>43120</v>
      </c>
      <c r="E32" s="116">
        <v>0.50995000000000001</v>
      </c>
      <c r="F32" s="116">
        <v>0.54745299999999997</v>
      </c>
      <c r="G32" s="116">
        <v>0.50215299999999996</v>
      </c>
      <c r="H32" s="116">
        <v>0.53467699999999996</v>
      </c>
      <c r="I32" s="114">
        <v>204013000</v>
      </c>
      <c r="J32" s="114">
        <v>9123480000</v>
      </c>
    </row>
    <row r="33" spans="1:10" x14ac:dyDescent="0.2">
      <c r="A33" s="90" t="s">
        <v>33</v>
      </c>
      <c r="B33" s="90" t="s">
        <v>746</v>
      </c>
      <c r="C33" s="94">
        <v>43120</v>
      </c>
      <c r="D33" s="92">
        <v>43120</v>
      </c>
      <c r="E33" s="116">
        <v>367.63</v>
      </c>
      <c r="F33" s="116">
        <v>403.49</v>
      </c>
      <c r="G33" s="116">
        <v>358.77</v>
      </c>
      <c r="H33" s="116">
        <v>383.79</v>
      </c>
      <c r="I33" s="114">
        <v>240595000</v>
      </c>
      <c r="J33" s="114">
        <v>5743450000</v>
      </c>
    </row>
    <row r="34" spans="1:10" x14ac:dyDescent="0.2">
      <c r="A34" s="90" t="s">
        <v>27</v>
      </c>
      <c r="B34" s="90" t="s">
        <v>747</v>
      </c>
      <c r="C34" s="94">
        <v>43120</v>
      </c>
      <c r="D34" s="92">
        <v>43120</v>
      </c>
      <c r="E34" s="116">
        <v>1.56</v>
      </c>
      <c r="F34" s="116">
        <v>1.63</v>
      </c>
      <c r="G34" s="116">
        <v>1.5</v>
      </c>
      <c r="H34" s="116">
        <v>1.58</v>
      </c>
      <c r="I34" s="114">
        <v>2346450000</v>
      </c>
      <c r="J34" s="114">
        <v>60543000000</v>
      </c>
    </row>
    <row r="35" spans="1:10" x14ac:dyDescent="0.2">
      <c r="A35" s="90" t="s">
        <v>97</v>
      </c>
      <c r="B35" s="90" t="s">
        <v>748</v>
      </c>
      <c r="C35" s="94">
        <v>43120</v>
      </c>
      <c r="D35" s="92">
        <v>43120</v>
      </c>
      <c r="E35" s="116">
        <v>79.84</v>
      </c>
      <c r="F35" s="116">
        <v>90.23</v>
      </c>
      <c r="G35" s="116">
        <v>79.84</v>
      </c>
      <c r="H35" s="116">
        <v>88.79</v>
      </c>
      <c r="I35" s="114">
        <v>5254950</v>
      </c>
      <c r="J35" s="114">
        <v>311416000</v>
      </c>
    </row>
    <row r="36" spans="1:10" x14ac:dyDescent="0.2">
      <c r="A36" s="90" t="s">
        <v>16</v>
      </c>
      <c r="B36" s="90" t="s">
        <v>749</v>
      </c>
      <c r="C36" s="94">
        <v>43120</v>
      </c>
      <c r="D36" s="92">
        <v>43120</v>
      </c>
      <c r="E36" s="116">
        <v>528.86</v>
      </c>
      <c r="F36" s="116">
        <v>565.23</v>
      </c>
      <c r="G36" s="116">
        <v>518.55999999999995</v>
      </c>
      <c r="H36" s="116">
        <v>557.6</v>
      </c>
      <c r="I36" s="114">
        <v>126555000</v>
      </c>
      <c r="J36" s="114">
        <v>1636230000</v>
      </c>
    </row>
    <row r="37" spans="1:10" x14ac:dyDescent="0.2">
      <c r="A37" s="90" t="s">
        <v>50</v>
      </c>
      <c r="B37" s="90" t="s">
        <v>724</v>
      </c>
      <c r="C37" s="94">
        <v>43104</v>
      </c>
      <c r="D37" s="92">
        <v>43104</v>
      </c>
      <c r="E37" s="116">
        <v>40.049999999999997</v>
      </c>
      <c r="F37" s="116">
        <v>46.02</v>
      </c>
      <c r="G37" s="116">
        <v>34.729999999999997</v>
      </c>
      <c r="H37" s="116">
        <v>43.16</v>
      </c>
      <c r="I37" s="114">
        <v>31722100</v>
      </c>
      <c r="J37" s="114">
        <v>365995000</v>
      </c>
    </row>
    <row r="38" spans="1:10" x14ac:dyDescent="0.2">
      <c r="A38" s="90" t="s">
        <v>50</v>
      </c>
      <c r="B38" s="90" t="s">
        <v>724</v>
      </c>
      <c r="C38" s="94">
        <v>43135</v>
      </c>
      <c r="D38" s="92">
        <v>43135</v>
      </c>
      <c r="E38" s="116">
        <v>50.68</v>
      </c>
      <c r="F38" s="116">
        <v>50.96</v>
      </c>
      <c r="G38" s="116">
        <v>38.61</v>
      </c>
      <c r="H38" s="116">
        <v>42.26</v>
      </c>
      <c r="I38" s="114">
        <v>12683100</v>
      </c>
      <c r="J38" s="114">
        <v>488573000</v>
      </c>
    </row>
  </sheetData>
  <sortState ref="A3:A36">
    <sortCondition ref="A3"/>
  </sortState>
  <mergeCells count="1">
    <mergeCell ref="A1:J1"/>
  </mergeCells>
  <conditionalFormatting sqref="A1 K1:XFD1 A2:XFD1048576">
    <cfRule type="expression" dxfId="2" priority="1">
      <formula>MOD(ROW(),2)=1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010" r:id="rId3" name="Button 2">
              <controlPr defaultSize="0" print="0" autoFill="0" autoPict="0" macro="[0]!UpdateDetailedQuotesSheet">
                <anchor>
                  <from>
                    <xdr:col>0</xdr:col>
                    <xdr:colOff>0</xdr:colOff>
                    <xdr:row>0</xdr:row>
                    <xdr:rowOff>66675</xdr:rowOff>
                  </from>
                  <to>
                    <xdr:col>1</xdr:col>
                    <xdr:colOff>742950</xdr:colOff>
                    <xdr:row>0</xdr:row>
                    <xdr:rowOff>409575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I2"/>
  <sheetViews>
    <sheetView zoomScale="130" zoomScaleNormal="130" workbookViewId="0">
      <pane ySplit="2" topLeftCell="A3" activePane="bottomLeft" state="frozen"/>
      <selection pane="bottomLeft" sqref="A1:I1"/>
    </sheetView>
  </sheetViews>
  <sheetFormatPr defaultColWidth="8.5703125" defaultRowHeight="12.75" x14ac:dyDescent="0.2"/>
  <cols>
    <col min="1" max="1" width="36.140625" style="100" bestFit="1" customWidth="1"/>
    <col min="2" max="2" width="12.140625" style="101" customWidth="1"/>
    <col min="3" max="3" width="11.42578125" style="101" customWidth="1"/>
    <col min="4" max="4" width="17.85546875" style="103" customWidth="1"/>
    <col min="5" max="6" width="17.85546875" style="104" customWidth="1"/>
    <col min="7" max="7" width="17.85546875" style="105" customWidth="1"/>
    <col min="8" max="9" width="20" style="106" customWidth="1"/>
    <col min="10" max="16384" width="8.5703125" style="96"/>
  </cols>
  <sheetData>
    <row r="1" spans="1:9" s="10" customFormat="1" ht="37.5" customHeight="1" x14ac:dyDescent="0.2">
      <c r="A1" s="154"/>
      <c r="B1" s="154"/>
      <c r="C1" s="154"/>
      <c r="D1" s="154"/>
      <c r="E1" s="154"/>
      <c r="F1" s="154"/>
      <c r="G1" s="154"/>
      <c r="H1" s="154"/>
      <c r="I1" s="154"/>
    </row>
    <row r="2" spans="1:9" s="95" customFormat="1" ht="30" customHeight="1" x14ac:dyDescent="0.2">
      <c r="A2" s="97" t="s">
        <v>668</v>
      </c>
      <c r="B2" s="98" t="s">
        <v>231</v>
      </c>
      <c r="C2" s="98" t="s">
        <v>226</v>
      </c>
      <c r="D2" s="102" t="s">
        <v>230</v>
      </c>
      <c r="E2" s="102" t="s">
        <v>188</v>
      </c>
      <c r="F2" s="102" t="s">
        <v>751</v>
      </c>
      <c r="G2" s="102" t="s">
        <v>5</v>
      </c>
      <c r="H2" s="99" t="s">
        <v>192</v>
      </c>
      <c r="I2" s="99" t="s">
        <v>246</v>
      </c>
    </row>
  </sheetData>
  <mergeCells count="1">
    <mergeCell ref="A1:I1"/>
  </mergeCells>
  <conditionalFormatting sqref="A1:XFD1048576">
    <cfRule type="expression" dxfId="1" priority="6">
      <formula>MOD(ROW(),2)=1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8370" r:id="rId3" name="Button 2">
              <controlPr defaultSize="0" print="0" autoFill="0" autoPict="0" macro="[0]!ImportTrades">
                <anchor>
                  <from>
                    <xdr:col>0</xdr:col>
                    <xdr:colOff>0</xdr:colOff>
                    <xdr:row>0</xdr:row>
                    <xdr:rowOff>66675</xdr:rowOff>
                  </from>
                  <to>
                    <xdr:col>0</xdr:col>
                    <xdr:colOff>1381125</xdr:colOff>
                    <xdr:row>0</xdr:row>
                    <xdr:rowOff>409575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J4"/>
  <sheetViews>
    <sheetView zoomScale="200" zoomScaleNormal="200" workbookViewId="0"/>
  </sheetViews>
  <sheetFormatPr defaultColWidth="11.42578125" defaultRowHeight="12.75" x14ac:dyDescent="0.2"/>
  <cols>
    <col min="1" max="2" width="11.42578125" style="124"/>
    <col min="3" max="5" width="11.42578125" style="109"/>
    <col min="6" max="6" width="7" style="110" customWidth="1"/>
    <col min="7" max="7" width="11.140625" style="123" bestFit="1" customWidth="1"/>
    <col min="8" max="8" width="13.28515625" style="109" bestFit="1" customWidth="1"/>
    <col min="9" max="9" width="13" style="109" bestFit="1" customWidth="1"/>
    <col min="10" max="10" width="10.85546875" style="119" bestFit="1" customWidth="1"/>
    <col min="11" max="16384" width="11.42578125" style="96"/>
  </cols>
  <sheetData>
    <row r="1" spans="1:10" s="108" customFormat="1" x14ac:dyDescent="0.2">
      <c r="A1" s="111" t="s">
        <v>237</v>
      </c>
      <c r="B1" s="111" t="s">
        <v>753</v>
      </c>
      <c r="C1" s="112" t="s">
        <v>222</v>
      </c>
      <c r="D1" s="112" t="s">
        <v>223</v>
      </c>
      <c r="E1" s="112" t="s">
        <v>1</v>
      </c>
      <c r="F1" s="107"/>
      <c r="G1" s="120" t="s">
        <v>1128</v>
      </c>
      <c r="H1" s="121" t="s">
        <v>1126</v>
      </c>
      <c r="I1" s="121" t="s">
        <v>1127</v>
      </c>
      <c r="J1" s="121" t="s">
        <v>1</v>
      </c>
    </row>
    <row r="2" spans="1:10" x14ac:dyDescent="0.2">
      <c r="A2" s="111">
        <v>42736</v>
      </c>
      <c r="B2" s="111">
        <f ca="1">TODAY()</f>
        <v>43190</v>
      </c>
      <c r="C2" s="113">
        <f ca="1">SUMIFS(Trades!T:T,Trades!F:F,"&gt;"&amp;CapitalGains!A2,Trades!F:F,"&lt;"&amp;CapitalGains!B2+1)</f>
        <v>0</v>
      </c>
      <c r="D2" s="113">
        <f ca="1">SUMIFS(Trades!U:U,Trades!F:F,"&gt;"&amp;CapitalGains!A2,Trades!F:F,"&lt;"&amp;CapitalGains!B2+1)</f>
        <v>0</v>
      </c>
      <c r="E2" s="113">
        <f ca="1">C2+D2</f>
        <v>0</v>
      </c>
      <c r="G2" s="122"/>
      <c r="H2" s="113">
        <f ca="1">C2*G2</f>
        <v>0</v>
      </c>
      <c r="I2" s="113">
        <f ca="1">D2*0.15</f>
        <v>0</v>
      </c>
      <c r="J2" s="118">
        <f ca="1">H2+I2</f>
        <v>0</v>
      </c>
    </row>
    <row r="3" spans="1:10" x14ac:dyDescent="0.2">
      <c r="A3" s="111">
        <v>42736</v>
      </c>
      <c r="B3" s="111">
        <v>43100</v>
      </c>
      <c r="C3" s="113">
        <f>SUMIFS(Trades!T:T,Trades!F:F,"&gt;"&amp;CapitalGains!A3,Trades!F:F,"&lt;"&amp;CapitalGains!B3+1)</f>
        <v>0</v>
      </c>
      <c r="D3" s="113">
        <f>SUMIFS(Trades!U:U,Trades!F:F,"&gt;"&amp;CapitalGains!A3,Trades!F:F,"&lt;"&amp;CapitalGains!B3+1)</f>
        <v>0</v>
      </c>
      <c r="E3" s="113">
        <f>C3+D3</f>
        <v>0</v>
      </c>
      <c r="G3" s="122"/>
      <c r="H3" s="113">
        <f>C3*G3</f>
        <v>0</v>
      </c>
      <c r="I3" s="113">
        <f>D3*0.15</f>
        <v>0</v>
      </c>
      <c r="J3" s="118">
        <f>H3+I3</f>
        <v>0</v>
      </c>
    </row>
    <row r="4" spans="1:10" x14ac:dyDescent="0.2">
      <c r="A4" s="111">
        <v>43101</v>
      </c>
      <c r="B4" s="125">
        <v>43465</v>
      </c>
      <c r="C4" s="113">
        <f>SUMIFS(Trades!T:T,Trades!F:F,"&gt;"&amp;CapitalGains!A4,Trades!F:F,"&lt;"&amp;CapitalGains!B4+1)</f>
        <v>0</v>
      </c>
      <c r="D4" s="113">
        <f>SUMIFS(Trades!U:U,Trades!F:F,"&gt;"&amp;CapitalGains!A4,Trades!F:F,"&lt;"&amp;CapitalGains!B4+1)</f>
        <v>0</v>
      </c>
      <c r="E4" s="113">
        <f>C4+D4</f>
        <v>0</v>
      </c>
      <c r="G4" s="122"/>
      <c r="H4" s="113">
        <f>C4*G4</f>
        <v>0</v>
      </c>
      <c r="I4" s="113">
        <f>D4*0.15</f>
        <v>0</v>
      </c>
      <c r="J4" s="118">
        <f>H4+I4</f>
        <v>0</v>
      </c>
    </row>
  </sheetData>
  <conditionalFormatting sqref="A1:XFD1048576">
    <cfRule type="expression" dxfId="0" priority="1">
      <formula>MOD(ROW(),2)=1</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8"/>
  <sheetViews>
    <sheetView zoomScale="115" zoomScaleNormal="115" workbookViewId="0"/>
  </sheetViews>
  <sheetFormatPr defaultRowHeight="12.75" x14ac:dyDescent="0.2"/>
  <cols>
    <col min="1" max="1" width="14.42578125" bestFit="1" customWidth="1"/>
    <col min="2" max="2" width="10.85546875" customWidth="1"/>
    <col min="3" max="3" width="77" bestFit="1" customWidth="1"/>
    <col min="4" max="4" width="99.85546875" bestFit="1" customWidth="1"/>
    <col min="5" max="5" width="12" bestFit="1" customWidth="1"/>
  </cols>
  <sheetData>
    <row r="1" spans="1:5" x14ac:dyDescent="0.2">
      <c r="A1" s="9" t="s">
        <v>231</v>
      </c>
      <c r="B1" s="34" t="s">
        <v>241</v>
      </c>
      <c r="C1" s="9" t="s">
        <v>238</v>
      </c>
      <c r="D1" s="9" t="s">
        <v>239</v>
      </c>
      <c r="E1" s="9" t="s">
        <v>252</v>
      </c>
    </row>
    <row r="2" spans="1:5" x14ac:dyDescent="0.2">
      <c r="A2" s="15" t="s">
        <v>204</v>
      </c>
      <c r="B2" s="15">
        <v>1</v>
      </c>
      <c r="C2" s="42"/>
      <c r="D2" s="42"/>
      <c r="E2" s="42"/>
    </row>
    <row r="3" spans="1:5" x14ac:dyDescent="0.2">
      <c r="A3" s="81" t="s">
        <v>220</v>
      </c>
      <c r="B3" s="15">
        <v>1</v>
      </c>
      <c r="C3" s="42"/>
      <c r="D3" s="42"/>
      <c r="E3" s="42"/>
    </row>
    <row r="4" spans="1:5" x14ac:dyDescent="0.2">
      <c r="A4" s="81" t="s">
        <v>240</v>
      </c>
      <c r="B4" s="15">
        <v>1</v>
      </c>
      <c r="C4" s="42"/>
      <c r="D4" s="42"/>
      <c r="E4" s="42"/>
    </row>
    <row r="5" spans="1:5" x14ac:dyDescent="0.2">
      <c r="A5" s="15" t="s">
        <v>219</v>
      </c>
      <c r="B5" s="15">
        <v>0</v>
      </c>
      <c r="C5" s="42"/>
      <c r="D5" s="42"/>
      <c r="E5" s="42"/>
    </row>
    <row r="6" spans="1:5" x14ac:dyDescent="0.2">
      <c r="A6" s="15" t="s">
        <v>218</v>
      </c>
      <c r="B6" s="15">
        <v>0</v>
      </c>
      <c r="C6" s="42"/>
      <c r="D6" s="42"/>
      <c r="E6" s="42"/>
    </row>
    <row r="7" spans="1:5" x14ac:dyDescent="0.2">
      <c r="A7" s="15" t="s">
        <v>249</v>
      </c>
      <c r="B7" s="15">
        <v>1</v>
      </c>
      <c r="C7" s="42"/>
      <c r="D7" s="42"/>
      <c r="E7" s="42"/>
    </row>
    <row r="8" spans="1:5" x14ac:dyDescent="0.2">
      <c r="A8" s="15" t="s">
        <v>256</v>
      </c>
      <c r="B8" s="15">
        <v>0</v>
      </c>
      <c r="C8" s="42"/>
      <c r="D8" s="42"/>
      <c r="E8" s="42"/>
    </row>
  </sheetData>
  <hyperlinks>
    <hyperlink ref="A3" r:id="rId1"/>
    <hyperlink ref="A4" r:id="rId2"/>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13"/>
  <sheetViews>
    <sheetView workbookViewId="0"/>
  </sheetViews>
  <sheetFormatPr defaultColWidth="9.140625" defaultRowHeight="18" x14ac:dyDescent="0.2"/>
  <cols>
    <col min="1" max="1" width="28.28515625" style="18" bestFit="1" customWidth="1"/>
    <col min="2" max="2" width="39.7109375" style="18" bestFit="1" customWidth="1"/>
    <col min="3" max="16384" width="9.140625" style="18"/>
  </cols>
  <sheetData>
    <row r="1" spans="1:8" x14ac:dyDescent="0.2">
      <c r="A1" s="16" t="s">
        <v>208</v>
      </c>
      <c r="B1" s="17" t="s">
        <v>212</v>
      </c>
    </row>
    <row r="2" spans="1:8" x14ac:dyDescent="0.2">
      <c r="A2" s="16" t="s">
        <v>210</v>
      </c>
      <c r="B2" s="19" t="s">
        <v>211</v>
      </c>
    </row>
    <row r="3" spans="1:8" x14ac:dyDescent="0.2">
      <c r="A3" s="16" t="s">
        <v>207</v>
      </c>
      <c r="B3" s="88">
        <v>43149</v>
      </c>
    </row>
    <row r="5" spans="1:8" x14ac:dyDescent="0.2">
      <c r="A5" s="18" t="s">
        <v>209</v>
      </c>
    </row>
    <row r="6" spans="1:8" x14ac:dyDescent="0.2">
      <c r="A6" s="165" t="s">
        <v>1242</v>
      </c>
      <c r="B6" s="165"/>
      <c r="C6" s="165"/>
      <c r="D6" s="165"/>
      <c r="E6" s="165"/>
      <c r="F6" s="165"/>
      <c r="G6" s="165"/>
      <c r="H6" s="165"/>
    </row>
    <row r="7" spans="1:8" x14ac:dyDescent="0.2">
      <c r="A7" s="165"/>
      <c r="B7" s="165"/>
      <c r="C7" s="165"/>
      <c r="D7" s="165"/>
      <c r="E7" s="165"/>
      <c r="F7" s="165"/>
      <c r="G7" s="165"/>
      <c r="H7" s="165"/>
    </row>
    <row r="8" spans="1:8" x14ac:dyDescent="0.2">
      <c r="A8" s="165"/>
      <c r="B8" s="165"/>
      <c r="C8" s="165"/>
      <c r="D8" s="165"/>
      <c r="E8" s="165"/>
      <c r="F8" s="165"/>
      <c r="G8" s="165"/>
      <c r="H8" s="165"/>
    </row>
    <row r="9" spans="1:8" x14ac:dyDescent="0.2">
      <c r="A9" s="165"/>
      <c r="B9" s="165"/>
      <c r="C9" s="165"/>
      <c r="D9" s="165"/>
      <c r="E9" s="165"/>
      <c r="F9" s="165"/>
      <c r="G9" s="165"/>
      <c r="H9" s="165"/>
    </row>
    <row r="10" spans="1:8" x14ac:dyDescent="0.2">
      <c r="A10" s="165"/>
      <c r="B10" s="165"/>
      <c r="C10" s="165"/>
      <c r="D10" s="165"/>
      <c r="E10" s="165"/>
      <c r="F10" s="165"/>
      <c r="G10" s="165"/>
      <c r="H10" s="165"/>
    </row>
    <row r="11" spans="1:8" x14ac:dyDescent="0.2">
      <c r="A11" s="165"/>
      <c r="B11" s="165"/>
      <c r="C11" s="165"/>
      <c r="D11" s="165"/>
      <c r="E11" s="165"/>
      <c r="F11" s="165"/>
      <c r="G11" s="165"/>
      <c r="H11" s="165"/>
    </row>
    <row r="12" spans="1:8" x14ac:dyDescent="0.2">
      <c r="A12" s="165"/>
      <c r="B12" s="165"/>
      <c r="C12" s="165"/>
      <c r="D12" s="165"/>
      <c r="E12" s="165"/>
      <c r="F12" s="165"/>
      <c r="G12" s="165"/>
      <c r="H12" s="165"/>
    </row>
    <row r="13" spans="1:8" x14ac:dyDescent="0.2">
      <c r="A13" s="165"/>
      <c r="B13" s="165"/>
      <c r="C13" s="165"/>
      <c r="D13" s="165"/>
      <c r="E13" s="165"/>
      <c r="F13" s="165"/>
      <c r="G13" s="165"/>
      <c r="H13" s="165"/>
    </row>
  </sheetData>
  <mergeCells count="1">
    <mergeCell ref="A6:H13"/>
  </mergeCells>
  <hyperlinks>
    <hyperlink ref="B2" r:id="rId1"/>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B267BB6-45C1-4A26-9B30-E4EFA2654FC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28</vt:i4>
      </vt:variant>
    </vt:vector>
  </HeadingPairs>
  <TitlesOfParts>
    <vt:vector size="43" baseType="lpstr">
      <vt:lpstr>Dashboard</vt:lpstr>
      <vt:lpstr>Portfolio</vt:lpstr>
      <vt:lpstr>Orders</vt:lpstr>
      <vt:lpstr>Ranges</vt:lpstr>
      <vt:lpstr>Trades</vt:lpstr>
      <vt:lpstr>Transfers</vt:lpstr>
      <vt:lpstr>Trading</vt:lpstr>
      <vt:lpstr>Balances</vt:lpstr>
      <vt:lpstr>Quotes</vt:lpstr>
      <vt:lpstr>HistoricalQuotes</vt:lpstr>
      <vt:lpstr>DetailedQuotes</vt:lpstr>
      <vt:lpstr>Import</vt:lpstr>
      <vt:lpstr>CapitalGains</vt:lpstr>
      <vt:lpstr>API</vt:lpstr>
      <vt:lpstr>About</vt:lpstr>
      <vt:lpstr>AccountBalances</vt:lpstr>
      <vt:lpstr>ApiKeyBinance</vt:lpstr>
      <vt:lpstr>ApiKeyBittrex</vt:lpstr>
      <vt:lpstr>ApiKeyCoinbase</vt:lpstr>
      <vt:lpstr>ApiKeyGDAX</vt:lpstr>
      <vt:lpstr>ApiKeyKraken</vt:lpstr>
      <vt:lpstr>ApiKeyPoloniex</vt:lpstr>
      <vt:lpstr>ApiLoadDataBinance</vt:lpstr>
      <vt:lpstr>ApiLoadDataBittrex</vt:lpstr>
      <vt:lpstr>ApiLoadDataCMC</vt:lpstr>
      <vt:lpstr>ApiLoadDataCoinbase</vt:lpstr>
      <vt:lpstr>ApiLoadDataGDAX</vt:lpstr>
      <vt:lpstr>ApiLoadDataKraken</vt:lpstr>
      <vt:lpstr>ApiLoadDataPoloniex</vt:lpstr>
      <vt:lpstr>ApiPassphraseGDAX</vt:lpstr>
      <vt:lpstr>ApiSecretBinance</vt:lpstr>
      <vt:lpstr>ApiSecretBittrex</vt:lpstr>
      <vt:lpstr>ApiSecretCoinbase</vt:lpstr>
      <vt:lpstr>ApiSecretGDAX</vt:lpstr>
      <vt:lpstr>ApiSecretKraken</vt:lpstr>
      <vt:lpstr>ApiSecretPoloniex</vt:lpstr>
      <vt:lpstr>Balances</vt:lpstr>
      <vt:lpstr>FirstTradeDate</vt:lpstr>
      <vt:lpstr>OpenOrders</vt:lpstr>
      <vt:lpstr>Trades!OrderHistory</vt:lpstr>
      <vt:lpstr>PortfolioMarketValue</vt:lpstr>
      <vt:lpstr>TargetThreshold</vt:lpstr>
      <vt:lpstr>Transfers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Purvis</dc:creator>
  <cp:lastModifiedBy>Andy Purvis</cp:lastModifiedBy>
  <dcterms:created xsi:type="dcterms:W3CDTF">2011-09-16T22:42:54Z</dcterms:created>
  <dcterms:modified xsi:type="dcterms:W3CDTF">2018-03-31T14:48:04Z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